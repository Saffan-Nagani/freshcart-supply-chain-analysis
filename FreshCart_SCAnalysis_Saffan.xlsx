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15062\Desktop\Portfolio building Course\Intro to Data Analysis and Excel - 1\Week 1 Projects\Project 2\"/>
    </mc:Choice>
  </mc:AlternateContent>
  <xr:revisionPtr revIDLastSave="0" documentId="13_ncr:1_{CE6672DB-6EAA-4531-BA9E-C6BBDC76A048}" xr6:coauthVersionLast="47" xr6:coauthVersionMax="47" xr10:uidLastSave="{00000000-0000-0000-0000-000000000000}"/>
  <bookViews>
    <workbookView xWindow="-108" yWindow="-108" windowWidth="23256" windowHeight="12456" activeTab="3" xr2:uid="{00000000-000D-0000-FFFF-FFFF00000000}"/>
  </bookViews>
  <sheets>
    <sheet name="Cleaned_Data" sheetId="4" r:id="rId1"/>
    <sheet name="KPI_CALC" sheetId="5" r:id="rId2"/>
    <sheet name="PIVOT_TABLE_ANALYSIS" sheetId="9" r:id="rId3"/>
    <sheet name="Dashboard" sheetId="7" r:id="rId4"/>
    <sheet name="RAW_DATA" sheetId="1" r:id="rId5"/>
  </sheets>
  <definedNames>
    <definedName name="_xlnm._FilterDatabase" localSheetId="0" hidden="1">Cleaned_Data!$L$2:$L$489</definedName>
    <definedName name="_xlnm._FilterDatabase" localSheetId="4" hidden="1">RAW_DATA!$A$1:$L$1</definedName>
    <definedName name="Slicer_Product_Category">#N/A</definedName>
    <definedName name="Slicer_Warehouse_ID">#N/A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6" i="7" l="1"/>
  <c r="I15" i="7"/>
  <c r="F16" i="7"/>
  <c r="F15" i="7"/>
  <c r="I10" i="7"/>
  <c r="I9" i="7"/>
  <c r="F10" i="7"/>
  <c r="F9" i="7"/>
  <c r="C10" i="5"/>
  <c r="D10" i="5" s="1"/>
  <c r="B10" i="5"/>
  <c r="B11" i="5" s="1"/>
  <c r="H4" i="4"/>
  <c r="M3" i="4"/>
  <c r="N3" i="4" s="1"/>
  <c r="M4" i="4"/>
  <c r="N4" i="4" s="1"/>
  <c r="M5" i="4"/>
  <c r="N5" i="4" s="1"/>
  <c r="M6" i="4"/>
  <c r="N6" i="4" s="1"/>
  <c r="M7" i="4"/>
  <c r="N7" i="4" s="1"/>
  <c r="M8" i="4"/>
  <c r="N8" i="4" s="1"/>
  <c r="M9" i="4"/>
  <c r="N9" i="4" s="1"/>
  <c r="M10" i="4"/>
  <c r="N10" i="4" s="1"/>
  <c r="M11" i="4"/>
  <c r="N11" i="4" s="1"/>
  <c r="M12" i="4"/>
  <c r="N12" i="4" s="1"/>
  <c r="M13" i="4"/>
  <c r="N13" i="4" s="1"/>
  <c r="M14" i="4"/>
  <c r="N14" i="4" s="1"/>
  <c r="M15" i="4"/>
  <c r="N15" i="4" s="1"/>
  <c r="M16" i="4"/>
  <c r="N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9" i="4"/>
  <c r="N39" i="4" s="1"/>
  <c r="M41" i="4"/>
  <c r="N41" i="4" s="1"/>
  <c r="M42" i="4"/>
  <c r="N42" i="4" s="1"/>
  <c r="M43" i="4"/>
  <c r="N43" i="4" s="1"/>
  <c r="M46" i="4"/>
  <c r="N46" i="4" s="1"/>
  <c r="M47" i="4"/>
  <c r="N47" i="4" s="1"/>
  <c r="M48" i="4"/>
  <c r="N48" i="4" s="1"/>
  <c r="M49" i="4"/>
  <c r="N49" i="4" s="1"/>
  <c r="M50" i="4"/>
  <c r="N50" i="4" s="1"/>
  <c r="M51" i="4"/>
  <c r="N51" i="4" s="1"/>
  <c r="M52" i="4"/>
  <c r="N52" i="4" s="1"/>
  <c r="M53" i="4"/>
  <c r="N53" i="4" s="1"/>
  <c r="M54" i="4"/>
  <c r="N54" i="4" s="1"/>
  <c r="M55" i="4"/>
  <c r="N55" i="4" s="1"/>
  <c r="M56" i="4"/>
  <c r="N56" i="4" s="1"/>
  <c r="M57" i="4"/>
  <c r="N57" i="4" s="1"/>
  <c r="M58" i="4"/>
  <c r="N58" i="4" s="1"/>
  <c r="M59" i="4"/>
  <c r="N59" i="4" s="1"/>
  <c r="M60" i="4"/>
  <c r="N60" i="4" s="1"/>
  <c r="M61" i="4"/>
  <c r="N61" i="4" s="1"/>
  <c r="M62" i="4"/>
  <c r="N62" i="4" s="1"/>
  <c r="M63" i="4"/>
  <c r="N63" i="4" s="1"/>
  <c r="M64" i="4"/>
  <c r="N64" i="4" s="1"/>
  <c r="M65" i="4"/>
  <c r="N65" i="4" s="1"/>
  <c r="M66" i="4"/>
  <c r="N66" i="4" s="1"/>
  <c r="M67" i="4"/>
  <c r="N67" i="4" s="1"/>
  <c r="M68" i="4"/>
  <c r="N68" i="4" s="1"/>
  <c r="M69" i="4"/>
  <c r="N69" i="4" s="1"/>
  <c r="M70" i="4"/>
  <c r="N70" i="4" s="1"/>
  <c r="M72" i="4"/>
  <c r="N72" i="4" s="1"/>
  <c r="M73" i="4"/>
  <c r="N73" i="4" s="1"/>
  <c r="M74" i="4"/>
  <c r="N74" i="4" s="1"/>
  <c r="M75" i="4"/>
  <c r="N75" i="4" s="1"/>
  <c r="M76" i="4"/>
  <c r="N76" i="4" s="1"/>
  <c r="M77" i="4"/>
  <c r="N77" i="4" s="1"/>
  <c r="M78" i="4"/>
  <c r="N78" i="4" s="1"/>
  <c r="M79" i="4"/>
  <c r="N79" i="4" s="1"/>
  <c r="M80" i="4"/>
  <c r="N80" i="4" s="1"/>
  <c r="M81" i="4"/>
  <c r="N81" i="4" s="1"/>
  <c r="M82" i="4"/>
  <c r="N82" i="4" s="1"/>
  <c r="M83" i="4"/>
  <c r="N83" i="4" s="1"/>
  <c r="M84" i="4"/>
  <c r="N84" i="4" s="1"/>
  <c r="M85" i="4"/>
  <c r="N85" i="4" s="1"/>
  <c r="M86" i="4"/>
  <c r="N86" i="4" s="1"/>
  <c r="M87" i="4"/>
  <c r="N87" i="4" s="1"/>
  <c r="M88" i="4"/>
  <c r="N88" i="4" s="1"/>
  <c r="M89" i="4"/>
  <c r="N89" i="4" s="1"/>
  <c r="M90" i="4"/>
  <c r="N90" i="4" s="1"/>
  <c r="M91" i="4"/>
  <c r="N91" i="4" s="1"/>
  <c r="M92" i="4"/>
  <c r="N92" i="4" s="1"/>
  <c r="M94" i="4"/>
  <c r="N94" i="4" s="1"/>
  <c r="M95" i="4"/>
  <c r="N95" i="4" s="1"/>
  <c r="M96" i="4"/>
  <c r="N96" i="4" s="1"/>
  <c r="M97" i="4"/>
  <c r="N97" i="4" s="1"/>
  <c r="M98" i="4"/>
  <c r="N98" i="4" s="1"/>
  <c r="M99" i="4"/>
  <c r="N99" i="4" s="1"/>
  <c r="M100" i="4"/>
  <c r="N100" i="4" s="1"/>
  <c r="M101" i="4"/>
  <c r="N101" i="4" s="1"/>
  <c r="M102" i="4"/>
  <c r="N102" i="4" s="1"/>
  <c r="M103" i="4"/>
  <c r="N103" i="4" s="1"/>
  <c r="M104" i="4"/>
  <c r="N104" i="4" s="1"/>
  <c r="M105" i="4"/>
  <c r="N105" i="4" s="1"/>
  <c r="M106" i="4"/>
  <c r="N106" i="4" s="1"/>
  <c r="M107" i="4"/>
  <c r="N107" i="4" s="1"/>
  <c r="M108" i="4"/>
  <c r="N108" i="4" s="1"/>
  <c r="M109" i="4"/>
  <c r="N109" i="4" s="1"/>
  <c r="M110" i="4"/>
  <c r="N110" i="4" s="1"/>
  <c r="M111" i="4"/>
  <c r="N111" i="4" s="1"/>
  <c r="M112" i="4"/>
  <c r="N112" i="4" s="1"/>
  <c r="M113" i="4"/>
  <c r="N113" i="4" s="1"/>
  <c r="M114" i="4"/>
  <c r="N114" i="4" s="1"/>
  <c r="M115" i="4"/>
  <c r="N115" i="4" s="1"/>
  <c r="M116" i="4"/>
  <c r="N116" i="4" s="1"/>
  <c r="M117" i="4"/>
  <c r="N117" i="4" s="1"/>
  <c r="M118" i="4"/>
  <c r="N118" i="4" s="1"/>
  <c r="M119" i="4"/>
  <c r="N119" i="4" s="1"/>
  <c r="M120" i="4"/>
  <c r="N120" i="4" s="1"/>
  <c r="M121" i="4"/>
  <c r="N121" i="4" s="1"/>
  <c r="M122" i="4"/>
  <c r="N122" i="4" s="1"/>
  <c r="M123" i="4"/>
  <c r="N123" i="4" s="1"/>
  <c r="M124" i="4"/>
  <c r="N124" i="4" s="1"/>
  <c r="M125" i="4"/>
  <c r="N125" i="4" s="1"/>
  <c r="M126" i="4"/>
  <c r="N126" i="4" s="1"/>
  <c r="M127" i="4"/>
  <c r="N127" i="4" s="1"/>
  <c r="M128" i="4"/>
  <c r="N128" i="4" s="1"/>
  <c r="M129" i="4"/>
  <c r="N129" i="4" s="1"/>
  <c r="M130" i="4"/>
  <c r="N130" i="4" s="1"/>
  <c r="M131" i="4"/>
  <c r="N131" i="4" s="1"/>
  <c r="M132" i="4"/>
  <c r="N132" i="4" s="1"/>
  <c r="M133" i="4"/>
  <c r="N133" i="4" s="1"/>
  <c r="M134" i="4"/>
  <c r="N134" i="4" s="1"/>
  <c r="M135" i="4"/>
  <c r="N135" i="4" s="1"/>
  <c r="M136" i="4"/>
  <c r="N136" i="4" s="1"/>
  <c r="M137" i="4"/>
  <c r="N137" i="4" s="1"/>
  <c r="M138" i="4"/>
  <c r="N138" i="4" s="1"/>
  <c r="M139" i="4"/>
  <c r="N139" i="4" s="1"/>
  <c r="M140" i="4"/>
  <c r="N140" i="4" s="1"/>
  <c r="M141" i="4"/>
  <c r="N141" i="4" s="1"/>
  <c r="M142" i="4"/>
  <c r="N142" i="4" s="1"/>
  <c r="M143" i="4"/>
  <c r="N143" i="4" s="1"/>
  <c r="M144" i="4"/>
  <c r="N144" i="4" s="1"/>
  <c r="M145" i="4"/>
  <c r="N145" i="4" s="1"/>
  <c r="M146" i="4"/>
  <c r="N146" i="4" s="1"/>
  <c r="M147" i="4"/>
  <c r="N147" i="4" s="1"/>
  <c r="M148" i="4"/>
  <c r="N148" i="4" s="1"/>
  <c r="M149" i="4"/>
  <c r="N149" i="4" s="1"/>
  <c r="M150" i="4"/>
  <c r="N150" i="4" s="1"/>
  <c r="M151" i="4"/>
  <c r="N151" i="4" s="1"/>
  <c r="M152" i="4"/>
  <c r="N152" i="4" s="1"/>
  <c r="M153" i="4"/>
  <c r="N153" i="4" s="1"/>
  <c r="M154" i="4"/>
  <c r="N154" i="4" s="1"/>
  <c r="M155" i="4"/>
  <c r="N155" i="4" s="1"/>
  <c r="M156" i="4"/>
  <c r="N156" i="4" s="1"/>
  <c r="M157" i="4"/>
  <c r="N157" i="4" s="1"/>
  <c r="M158" i="4"/>
  <c r="N158" i="4" s="1"/>
  <c r="M159" i="4"/>
  <c r="N159" i="4" s="1"/>
  <c r="M160" i="4"/>
  <c r="N160" i="4" s="1"/>
  <c r="M161" i="4"/>
  <c r="N161" i="4" s="1"/>
  <c r="M162" i="4"/>
  <c r="N162" i="4" s="1"/>
  <c r="M163" i="4"/>
  <c r="N163" i="4" s="1"/>
  <c r="M164" i="4"/>
  <c r="N164" i="4" s="1"/>
  <c r="M165" i="4"/>
  <c r="N165" i="4" s="1"/>
  <c r="M166" i="4"/>
  <c r="N166" i="4" s="1"/>
  <c r="M167" i="4"/>
  <c r="N167" i="4" s="1"/>
  <c r="M168" i="4"/>
  <c r="N168" i="4" s="1"/>
  <c r="M169" i="4"/>
  <c r="N169" i="4" s="1"/>
  <c r="M170" i="4"/>
  <c r="N170" i="4" s="1"/>
  <c r="M171" i="4"/>
  <c r="N171" i="4" s="1"/>
  <c r="M172" i="4"/>
  <c r="N172" i="4" s="1"/>
  <c r="M173" i="4"/>
  <c r="N173" i="4" s="1"/>
  <c r="M174" i="4"/>
  <c r="N174" i="4" s="1"/>
  <c r="M175" i="4"/>
  <c r="N175" i="4" s="1"/>
  <c r="M176" i="4"/>
  <c r="N176" i="4" s="1"/>
  <c r="M177" i="4"/>
  <c r="N177" i="4" s="1"/>
  <c r="M178" i="4"/>
  <c r="N178" i="4" s="1"/>
  <c r="M179" i="4"/>
  <c r="N179" i="4" s="1"/>
  <c r="M180" i="4"/>
  <c r="N180" i="4" s="1"/>
  <c r="M181" i="4"/>
  <c r="N181" i="4" s="1"/>
  <c r="M182" i="4"/>
  <c r="N182" i="4" s="1"/>
  <c r="M183" i="4"/>
  <c r="N183" i="4" s="1"/>
  <c r="M184" i="4"/>
  <c r="N184" i="4" s="1"/>
  <c r="M185" i="4"/>
  <c r="N185" i="4" s="1"/>
  <c r="M186" i="4"/>
  <c r="N186" i="4" s="1"/>
  <c r="M187" i="4"/>
  <c r="N187" i="4" s="1"/>
  <c r="M188" i="4"/>
  <c r="N188" i="4" s="1"/>
  <c r="M189" i="4"/>
  <c r="N189" i="4" s="1"/>
  <c r="M190" i="4"/>
  <c r="N190" i="4" s="1"/>
  <c r="M191" i="4"/>
  <c r="N191" i="4" s="1"/>
  <c r="M192" i="4"/>
  <c r="N192" i="4" s="1"/>
  <c r="M193" i="4"/>
  <c r="N193" i="4" s="1"/>
  <c r="M194" i="4"/>
  <c r="N194" i="4" s="1"/>
  <c r="M195" i="4"/>
  <c r="N195" i="4" s="1"/>
  <c r="M196" i="4"/>
  <c r="N196" i="4" s="1"/>
  <c r="M197" i="4"/>
  <c r="N197" i="4" s="1"/>
  <c r="M198" i="4"/>
  <c r="N198" i="4" s="1"/>
  <c r="M199" i="4"/>
  <c r="N199" i="4" s="1"/>
  <c r="M200" i="4"/>
  <c r="N200" i="4" s="1"/>
  <c r="M201" i="4"/>
  <c r="N201" i="4" s="1"/>
  <c r="M202" i="4"/>
  <c r="N202" i="4" s="1"/>
  <c r="M203" i="4"/>
  <c r="N203" i="4" s="1"/>
  <c r="M204" i="4"/>
  <c r="N204" i="4" s="1"/>
  <c r="M205" i="4"/>
  <c r="N205" i="4" s="1"/>
  <c r="M206" i="4"/>
  <c r="N206" i="4" s="1"/>
  <c r="M207" i="4"/>
  <c r="N207" i="4" s="1"/>
  <c r="M208" i="4"/>
  <c r="N208" i="4" s="1"/>
  <c r="M209" i="4"/>
  <c r="N209" i="4" s="1"/>
  <c r="M210" i="4"/>
  <c r="N210" i="4" s="1"/>
  <c r="M211" i="4"/>
  <c r="N211" i="4" s="1"/>
  <c r="M212" i="4"/>
  <c r="N212" i="4" s="1"/>
  <c r="M213" i="4"/>
  <c r="N213" i="4" s="1"/>
  <c r="M214" i="4"/>
  <c r="N214" i="4" s="1"/>
  <c r="M215" i="4"/>
  <c r="N215" i="4" s="1"/>
  <c r="M216" i="4"/>
  <c r="N216" i="4" s="1"/>
  <c r="M217" i="4"/>
  <c r="N217" i="4" s="1"/>
  <c r="M218" i="4"/>
  <c r="N218" i="4" s="1"/>
  <c r="M219" i="4"/>
  <c r="N219" i="4" s="1"/>
  <c r="M220" i="4"/>
  <c r="N220" i="4" s="1"/>
  <c r="M221" i="4"/>
  <c r="N221" i="4" s="1"/>
  <c r="M222" i="4"/>
  <c r="N222" i="4" s="1"/>
  <c r="M223" i="4"/>
  <c r="N223" i="4" s="1"/>
  <c r="M224" i="4"/>
  <c r="N224" i="4" s="1"/>
  <c r="M225" i="4"/>
  <c r="N225" i="4" s="1"/>
  <c r="M226" i="4"/>
  <c r="N226" i="4" s="1"/>
  <c r="M227" i="4"/>
  <c r="N227" i="4" s="1"/>
  <c r="M228" i="4"/>
  <c r="N228" i="4" s="1"/>
  <c r="M229" i="4"/>
  <c r="N229" i="4" s="1"/>
  <c r="M230" i="4"/>
  <c r="N230" i="4" s="1"/>
  <c r="M231" i="4"/>
  <c r="N231" i="4" s="1"/>
  <c r="M232" i="4"/>
  <c r="N232" i="4" s="1"/>
  <c r="M233" i="4"/>
  <c r="N233" i="4" s="1"/>
  <c r="M234" i="4"/>
  <c r="N234" i="4" s="1"/>
  <c r="M235" i="4"/>
  <c r="N235" i="4" s="1"/>
  <c r="M236" i="4"/>
  <c r="N236" i="4" s="1"/>
  <c r="M237" i="4"/>
  <c r="N237" i="4" s="1"/>
  <c r="M238" i="4"/>
  <c r="N238" i="4" s="1"/>
  <c r="M239" i="4"/>
  <c r="N239" i="4" s="1"/>
  <c r="M240" i="4"/>
  <c r="N240" i="4" s="1"/>
  <c r="M241" i="4"/>
  <c r="N241" i="4" s="1"/>
  <c r="M242" i="4"/>
  <c r="N242" i="4" s="1"/>
  <c r="M243" i="4"/>
  <c r="N243" i="4" s="1"/>
  <c r="M244" i="4"/>
  <c r="N244" i="4" s="1"/>
  <c r="M245" i="4"/>
  <c r="N245" i="4" s="1"/>
  <c r="M246" i="4"/>
  <c r="N246" i="4" s="1"/>
  <c r="M247" i="4"/>
  <c r="N247" i="4" s="1"/>
  <c r="M248" i="4"/>
  <c r="N248" i="4" s="1"/>
  <c r="M249" i="4"/>
  <c r="N249" i="4" s="1"/>
  <c r="M250" i="4"/>
  <c r="N250" i="4" s="1"/>
  <c r="M251" i="4"/>
  <c r="N251" i="4" s="1"/>
  <c r="M252" i="4"/>
  <c r="N252" i="4" s="1"/>
  <c r="M253" i="4"/>
  <c r="N253" i="4" s="1"/>
  <c r="M254" i="4"/>
  <c r="N254" i="4" s="1"/>
  <c r="M255" i="4"/>
  <c r="N255" i="4" s="1"/>
  <c r="M256" i="4"/>
  <c r="N256" i="4" s="1"/>
  <c r="M257" i="4"/>
  <c r="N257" i="4" s="1"/>
  <c r="M258" i="4"/>
  <c r="N258" i="4" s="1"/>
  <c r="M259" i="4"/>
  <c r="N259" i="4" s="1"/>
  <c r="M260" i="4"/>
  <c r="N260" i="4" s="1"/>
  <c r="M261" i="4"/>
  <c r="N261" i="4" s="1"/>
  <c r="M262" i="4"/>
  <c r="N262" i="4" s="1"/>
  <c r="M263" i="4"/>
  <c r="N263" i="4" s="1"/>
  <c r="M264" i="4"/>
  <c r="N264" i="4" s="1"/>
  <c r="M265" i="4"/>
  <c r="N265" i="4" s="1"/>
  <c r="M266" i="4"/>
  <c r="N266" i="4" s="1"/>
  <c r="M267" i="4"/>
  <c r="N267" i="4" s="1"/>
  <c r="M268" i="4"/>
  <c r="N268" i="4" s="1"/>
  <c r="M269" i="4"/>
  <c r="N269" i="4" s="1"/>
  <c r="M270" i="4"/>
  <c r="N270" i="4" s="1"/>
  <c r="M271" i="4"/>
  <c r="N271" i="4" s="1"/>
  <c r="M272" i="4"/>
  <c r="N272" i="4" s="1"/>
  <c r="M273" i="4"/>
  <c r="N273" i="4" s="1"/>
  <c r="M275" i="4"/>
  <c r="N275" i="4" s="1"/>
  <c r="M276" i="4"/>
  <c r="N276" i="4" s="1"/>
  <c r="M277" i="4"/>
  <c r="N277" i="4" s="1"/>
  <c r="M278" i="4"/>
  <c r="N278" i="4" s="1"/>
  <c r="M279" i="4"/>
  <c r="N279" i="4" s="1"/>
  <c r="M280" i="4"/>
  <c r="N280" i="4" s="1"/>
  <c r="M281" i="4"/>
  <c r="N281" i="4" s="1"/>
  <c r="M282" i="4"/>
  <c r="N282" i="4" s="1"/>
  <c r="M283" i="4"/>
  <c r="N283" i="4" s="1"/>
  <c r="M284" i="4"/>
  <c r="N284" i="4" s="1"/>
  <c r="M285" i="4"/>
  <c r="N285" i="4" s="1"/>
  <c r="M286" i="4"/>
  <c r="N286" i="4" s="1"/>
  <c r="M287" i="4"/>
  <c r="N287" i="4" s="1"/>
  <c r="M288" i="4"/>
  <c r="N288" i="4" s="1"/>
  <c r="M289" i="4"/>
  <c r="N289" i="4" s="1"/>
  <c r="M290" i="4"/>
  <c r="N290" i="4" s="1"/>
  <c r="M291" i="4"/>
  <c r="N291" i="4" s="1"/>
  <c r="M292" i="4"/>
  <c r="N292" i="4" s="1"/>
  <c r="M294" i="4"/>
  <c r="N294" i="4" s="1"/>
  <c r="M295" i="4"/>
  <c r="N295" i="4" s="1"/>
  <c r="M296" i="4"/>
  <c r="N296" i="4" s="1"/>
  <c r="M297" i="4"/>
  <c r="N297" i="4" s="1"/>
  <c r="M298" i="4"/>
  <c r="N298" i="4" s="1"/>
  <c r="M299" i="4"/>
  <c r="N299" i="4" s="1"/>
  <c r="M300" i="4"/>
  <c r="N300" i="4" s="1"/>
  <c r="M301" i="4"/>
  <c r="N301" i="4" s="1"/>
  <c r="M302" i="4"/>
  <c r="N302" i="4" s="1"/>
  <c r="M303" i="4"/>
  <c r="N303" i="4" s="1"/>
  <c r="M304" i="4"/>
  <c r="N304" i="4" s="1"/>
  <c r="M305" i="4"/>
  <c r="N305" i="4" s="1"/>
  <c r="M306" i="4"/>
  <c r="N306" i="4" s="1"/>
  <c r="M307" i="4"/>
  <c r="N307" i="4" s="1"/>
  <c r="M308" i="4"/>
  <c r="N308" i="4" s="1"/>
  <c r="M309" i="4"/>
  <c r="N309" i="4" s="1"/>
  <c r="M310" i="4"/>
  <c r="N310" i="4" s="1"/>
  <c r="M311" i="4"/>
  <c r="N311" i="4" s="1"/>
  <c r="M312" i="4"/>
  <c r="N312" i="4" s="1"/>
  <c r="M313" i="4"/>
  <c r="N313" i="4" s="1"/>
  <c r="M314" i="4"/>
  <c r="N314" i="4" s="1"/>
  <c r="M315" i="4"/>
  <c r="N315" i="4" s="1"/>
  <c r="M316" i="4"/>
  <c r="N316" i="4" s="1"/>
  <c r="M317" i="4"/>
  <c r="N317" i="4" s="1"/>
  <c r="M318" i="4"/>
  <c r="N318" i="4" s="1"/>
  <c r="M319" i="4"/>
  <c r="N319" i="4" s="1"/>
  <c r="M320" i="4"/>
  <c r="N320" i="4" s="1"/>
  <c r="M321" i="4"/>
  <c r="N321" i="4" s="1"/>
  <c r="M322" i="4"/>
  <c r="N322" i="4" s="1"/>
  <c r="M323" i="4"/>
  <c r="N323" i="4" s="1"/>
  <c r="M324" i="4"/>
  <c r="N324" i="4" s="1"/>
  <c r="M325" i="4"/>
  <c r="N325" i="4" s="1"/>
  <c r="M326" i="4"/>
  <c r="N326" i="4" s="1"/>
  <c r="M327" i="4"/>
  <c r="N327" i="4" s="1"/>
  <c r="M328" i="4"/>
  <c r="N328" i="4" s="1"/>
  <c r="M329" i="4"/>
  <c r="N329" i="4" s="1"/>
  <c r="M330" i="4"/>
  <c r="N330" i="4" s="1"/>
  <c r="M331" i="4"/>
  <c r="N331" i="4" s="1"/>
  <c r="M332" i="4"/>
  <c r="N332" i="4" s="1"/>
  <c r="M333" i="4"/>
  <c r="N333" i="4" s="1"/>
  <c r="M334" i="4"/>
  <c r="N334" i="4" s="1"/>
  <c r="M335" i="4"/>
  <c r="N335" i="4" s="1"/>
  <c r="M336" i="4"/>
  <c r="N336" i="4" s="1"/>
  <c r="M337" i="4"/>
  <c r="N337" i="4" s="1"/>
  <c r="M338" i="4"/>
  <c r="N338" i="4" s="1"/>
  <c r="M339" i="4"/>
  <c r="N339" i="4" s="1"/>
  <c r="M340" i="4"/>
  <c r="N340" i="4" s="1"/>
  <c r="M341" i="4"/>
  <c r="N341" i="4" s="1"/>
  <c r="M342" i="4"/>
  <c r="N342" i="4" s="1"/>
  <c r="M343" i="4"/>
  <c r="N343" i="4" s="1"/>
  <c r="M344" i="4"/>
  <c r="N344" i="4" s="1"/>
  <c r="M345" i="4"/>
  <c r="N345" i="4" s="1"/>
  <c r="M346" i="4"/>
  <c r="N346" i="4" s="1"/>
  <c r="M347" i="4"/>
  <c r="N347" i="4" s="1"/>
  <c r="M348" i="4"/>
  <c r="N348" i="4" s="1"/>
  <c r="M350" i="4"/>
  <c r="N350" i="4" s="1"/>
  <c r="M351" i="4"/>
  <c r="N351" i="4" s="1"/>
  <c r="M352" i="4"/>
  <c r="N352" i="4" s="1"/>
  <c r="M353" i="4"/>
  <c r="N353" i="4" s="1"/>
  <c r="M354" i="4"/>
  <c r="N354" i="4" s="1"/>
  <c r="M355" i="4"/>
  <c r="N355" i="4" s="1"/>
  <c r="M356" i="4"/>
  <c r="N356" i="4" s="1"/>
  <c r="M357" i="4"/>
  <c r="N357" i="4" s="1"/>
  <c r="M358" i="4"/>
  <c r="N358" i="4" s="1"/>
  <c r="M359" i="4"/>
  <c r="N359" i="4" s="1"/>
  <c r="M360" i="4"/>
  <c r="N360" i="4" s="1"/>
  <c r="M361" i="4"/>
  <c r="N361" i="4" s="1"/>
  <c r="M362" i="4"/>
  <c r="N362" i="4" s="1"/>
  <c r="M363" i="4"/>
  <c r="N363" i="4" s="1"/>
  <c r="M364" i="4"/>
  <c r="N364" i="4" s="1"/>
  <c r="M365" i="4"/>
  <c r="N365" i="4" s="1"/>
  <c r="M366" i="4"/>
  <c r="N366" i="4" s="1"/>
  <c r="M367" i="4"/>
  <c r="N367" i="4" s="1"/>
  <c r="M368" i="4"/>
  <c r="N368" i="4" s="1"/>
  <c r="M369" i="4"/>
  <c r="N369" i="4" s="1"/>
  <c r="M370" i="4"/>
  <c r="N370" i="4" s="1"/>
  <c r="M371" i="4"/>
  <c r="N371" i="4" s="1"/>
  <c r="M372" i="4"/>
  <c r="N372" i="4" s="1"/>
  <c r="M373" i="4"/>
  <c r="N373" i="4" s="1"/>
  <c r="M374" i="4"/>
  <c r="N374" i="4" s="1"/>
  <c r="M375" i="4"/>
  <c r="N375" i="4" s="1"/>
  <c r="M376" i="4"/>
  <c r="N376" i="4" s="1"/>
  <c r="M377" i="4"/>
  <c r="N377" i="4" s="1"/>
  <c r="M378" i="4"/>
  <c r="N378" i="4" s="1"/>
  <c r="M379" i="4"/>
  <c r="N379" i="4" s="1"/>
  <c r="M380" i="4"/>
  <c r="N380" i="4" s="1"/>
  <c r="M381" i="4"/>
  <c r="N381" i="4" s="1"/>
  <c r="M382" i="4"/>
  <c r="N382" i="4" s="1"/>
  <c r="M383" i="4"/>
  <c r="N383" i="4" s="1"/>
  <c r="M384" i="4"/>
  <c r="N384" i="4" s="1"/>
  <c r="M385" i="4"/>
  <c r="N385" i="4" s="1"/>
  <c r="M386" i="4"/>
  <c r="N386" i="4" s="1"/>
  <c r="M387" i="4"/>
  <c r="N387" i="4" s="1"/>
  <c r="M388" i="4"/>
  <c r="N388" i="4" s="1"/>
  <c r="M389" i="4"/>
  <c r="N389" i="4" s="1"/>
  <c r="M391" i="4"/>
  <c r="N391" i="4" s="1"/>
  <c r="M392" i="4"/>
  <c r="N392" i="4" s="1"/>
  <c r="M393" i="4"/>
  <c r="N393" i="4" s="1"/>
  <c r="M394" i="4"/>
  <c r="N394" i="4" s="1"/>
  <c r="M395" i="4"/>
  <c r="N395" i="4" s="1"/>
  <c r="M396" i="4"/>
  <c r="N396" i="4" s="1"/>
  <c r="M397" i="4"/>
  <c r="N397" i="4" s="1"/>
  <c r="M398" i="4"/>
  <c r="N398" i="4" s="1"/>
  <c r="M399" i="4"/>
  <c r="N399" i="4" s="1"/>
  <c r="M400" i="4"/>
  <c r="N400" i="4" s="1"/>
  <c r="M401" i="4"/>
  <c r="N401" i="4" s="1"/>
  <c r="M402" i="4"/>
  <c r="N402" i="4" s="1"/>
  <c r="M403" i="4"/>
  <c r="N403" i="4" s="1"/>
  <c r="M404" i="4"/>
  <c r="N404" i="4" s="1"/>
  <c r="M405" i="4"/>
  <c r="N405" i="4" s="1"/>
  <c r="M406" i="4"/>
  <c r="N406" i="4" s="1"/>
  <c r="M407" i="4"/>
  <c r="N407" i="4" s="1"/>
  <c r="M408" i="4"/>
  <c r="N408" i="4" s="1"/>
  <c r="M409" i="4"/>
  <c r="N409" i="4" s="1"/>
  <c r="M410" i="4"/>
  <c r="N410" i="4" s="1"/>
  <c r="M411" i="4"/>
  <c r="N411" i="4" s="1"/>
  <c r="M412" i="4"/>
  <c r="N412" i="4" s="1"/>
  <c r="M413" i="4"/>
  <c r="N413" i="4" s="1"/>
  <c r="M414" i="4"/>
  <c r="N414" i="4" s="1"/>
  <c r="M415" i="4"/>
  <c r="N415" i="4" s="1"/>
  <c r="M416" i="4"/>
  <c r="N416" i="4" s="1"/>
  <c r="M417" i="4"/>
  <c r="N417" i="4" s="1"/>
  <c r="M418" i="4"/>
  <c r="N418" i="4" s="1"/>
  <c r="M419" i="4"/>
  <c r="N419" i="4" s="1"/>
  <c r="M420" i="4"/>
  <c r="N420" i="4" s="1"/>
  <c r="M421" i="4"/>
  <c r="N421" i="4" s="1"/>
  <c r="M422" i="4"/>
  <c r="N422" i="4" s="1"/>
  <c r="M423" i="4"/>
  <c r="N423" i="4" s="1"/>
  <c r="M424" i="4"/>
  <c r="N424" i="4" s="1"/>
  <c r="M425" i="4"/>
  <c r="N425" i="4" s="1"/>
  <c r="M426" i="4"/>
  <c r="N426" i="4" s="1"/>
  <c r="M427" i="4"/>
  <c r="N427" i="4" s="1"/>
  <c r="M428" i="4"/>
  <c r="N428" i="4" s="1"/>
  <c r="M429" i="4"/>
  <c r="N429" i="4" s="1"/>
  <c r="M430" i="4"/>
  <c r="N430" i="4" s="1"/>
  <c r="M431" i="4"/>
  <c r="N431" i="4" s="1"/>
  <c r="M432" i="4"/>
  <c r="N432" i="4" s="1"/>
  <c r="M433" i="4"/>
  <c r="N433" i="4" s="1"/>
  <c r="M434" i="4"/>
  <c r="N434" i="4" s="1"/>
  <c r="M435" i="4"/>
  <c r="N435" i="4" s="1"/>
  <c r="M436" i="4"/>
  <c r="N436" i="4" s="1"/>
  <c r="M437" i="4"/>
  <c r="N437" i="4" s="1"/>
  <c r="M438" i="4"/>
  <c r="N438" i="4" s="1"/>
  <c r="M439" i="4"/>
  <c r="N439" i="4" s="1"/>
  <c r="M440" i="4"/>
  <c r="N440" i="4" s="1"/>
  <c r="M441" i="4"/>
  <c r="N441" i="4" s="1"/>
  <c r="M442" i="4"/>
  <c r="N442" i="4" s="1"/>
  <c r="M443" i="4"/>
  <c r="N443" i="4" s="1"/>
  <c r="M444" i="4"/>
  <c r="N444" i="4" s="1"/>
  <c r="M445" i="4"/>
  <c r="N445" i="4" s="1"/>
  <c r="M446" i="4"/>
  <c r="N446" i="4" s="1"/>
  <c r="M448" i="4"/>
  <c r="N448" i="4" s="1"/>
  <c r="M449" i="4"/>
  <c r="N449" i="4" s="1"/>
  <c r="M450" i="4"/>
  <c r="N450" i="4" s="1"/>
  <c r="M451" i="4"/>
  <c r="N451" i="4" s="1"/>
  <c r="M452" i="4"/>
  <c r="N452" i="4" s="1"/>
  <c r="M453" i="4"/>
  <c r="N453" i="4" s="1"/>
  <c r="M454" i="4"/>
  <c r="N454" i="4" s="1"/>
  <c r="M455" i="4"/>
  <c r="N455" i="4" s="1"/>
  <c r="M456" i="4"/>
  <c r="N456" i="4" s="1"/>
  <c r="M457" i="4"/>
  <c r="N457" i="4" s="1"/>
  <c r="M458" i="4"/>
  <c r="N458" i="4" s="1"/>
  <c r="M459" i="4"/>
  <c r="N459" i="4" s="1"/>
  <c r="M460" i="4"/>
  <c r="N460" i="4" s="1"/>
  <c r="M461" i="4"/>
  <c r="N461" i="4" s="1"/>
  <c r="M462" i="4"/>
  <c r="N462" i="4" s="1"/>
  <c r="M463" i="4"/>
  <c r="N463" i="4" s="1"/>
  <c r="M464" i="4"/>
  <c r="N464" i="4" s="1"/>
  <c r="M465" i="4"/>
  <c r="N465" i="4" s="1"/>
  <c r="M466" i="4"/>
  <c r="N466" i="4" s="1"/>
  <c r="M467" i="4"/>
  <c r="N467" i="4" s="1"/>
  <c r="M468" i="4"/>
  <c r="N468" i="4" s="1"/>
  <c r="M469" i="4"/>
  <c r="N469" i="4" s="1"/>
  <c r="M471" i="4"/>
  <c r="N471" i="4" s="1"/>
  <c r="M472" i="4"/>
  <c r="N472" i="4" s="1"/>
  <c r="M473" i="4"/>
  <c r="N473" i="4" s="1"/>
  <c r="M474" i="4"/>
  <c r="N474" i="4" s="1"/>
  <c r="M475" i="4"/>
  <c r="N475" i="4" s="1"/>
  <c r="M476" i="4"/>
  <c r="N476" i="4" s="1"/>
  <c r="M477" i="4"/>
  <c r="N477" i="4" s="1"/>
  <c r="M478" i="4"/>
  <c r="N478" i="4" s="1"/>
  <c r="M479" i="4"/>
  <c r="N479" i="4" s="1"/>
  <c r="M480" i="4"/>
  <c r="N480" i="4" s="1"/>
  <c r="M481" i="4"/>
  <c r="N481" i="4" s="1"/>
  <c r="M482" i="4"/>
  <c r="N482" i="4" s="1"/>
  <c r="M483" i="4"/>
  <c r="N483" i="4" s="1"/>
  <c r="M484" i="4"/>
  <c r="N484" i="4" s="1"/>
  <c r="M485" i="4"/>
  <c r="N485" i="4" s="1"/>
  <c r="M486" i="4"/>
  <c r="N486" i="4" s="1"/>
  <c r="M487" i="4"/>
  <c r="N487" i="4" s="1"/>
  <c r="M488" i="4"/>
  <c r="N488" i="4" s="1"/>
  <c r="M489" i="4"/>
  <c r="N489" i="4" s="1"/>
  <c r="M2" i="4"/>
  <c r="N2" i="4" s="1"/>
  <c r="F2" i="4"/>
  <c r="G2" i="4"/>
  <c r="H2" i="4"/>
  <c r="I2" i="4"/>
  <c r="J2" i="4"/>
  <c r="K2" i="4"/>
  <c r="L2" i="4"/>
  <c r="F3" i="4"/>
  <c r="G3" i="4"/>
  <c r="H3" i="4"/>
  <c r="I3" i="4"/>
  <c r="J3" i="4"/>
  <c r="K3" i="4"/>
  <c r="L3" i="4"/>
  <c r="F4" i="4"/>
  <c r="G4" i="4"/>
  <c r="I4" i="4"/>
  <c r="J4" i="4"/>
  <c r="K4" i="4"/>
  <c r="L4" i="4"/>
  <c r="F5" i="4"/>
  <c r="G5" i="4"/>
  <c r="H5" i="4"/>
  <c r="I5" i="4"/>
  <c r="J5" i="4"/>
  <c r="K5" i="4"/>
  <c r="L5" i="4"/>
  <c r="F6" i="4"/>
  <c r="G6" i="4"/>
  <c r="H6" i="4"/>
  <c r="I6" i="4"/>
  <c r="J6" i="4"/>
  <c r="K6" i="4"/>
  <c r="L6" i="4"/>
  <c r="F7" i="4"/>
  <c r="G7" i="4"/>
  <c r="H7" i="4"/>
  <c r="I7" i="4"/>
  <c r="J7" i="4"/>
  <c r="K7" i="4"/>
  <c r="L7" i="4"/>
  <c r="F8" i="4"/>
  <c r="G8" i="4"/>
  <c r="H8" i="4"/>
  <c r="I8" i="4"/>
  <c r="J8" i="4"/>
  <c r="K8" i="4"/>
  <c r="L8" i="4"/>
  <c r="F9" i="4"/>
  <c r="G9" i="4"/>
  <c r="H9" i="4"/>
  <c r="I9" i="4"/>
  <c r="J9" i="4"/>
  <c r="K9" i="4"/>
  <c r="L9" i="4"/>
  <c r="F10" i="4"/>
  <c r="G10" i="4"/>
  <c r="H10" i="4"/>
  <c r="I10" i="4"/>
  <c r="J10" i="4"/>
  <c r="K10" i="4"/>
  <c r="L10" i="4"/>
  <c r="F11" i="4"/>
  <c r="G11" i="4"/>
  <c r="H11" i="4"/>
  <c r="I11" i="4"/>
  <c r="J11" i="4"/>
  <c r="K11" i="4"/>
  <c r="L11" i="4"/>
  <c r="F12" i="4"/>
  <c r="G12" i="4"/>
  <c r="H12" i="4"/>
  <c r="I12" i="4"/>
  <c r="J12" i="4"/>
  <c r="K12" i="4"/>
  <c r="L12" i="4"/>
  <c r="F13" i="4"/>
  <c r="G13" i="4"/>
  <c r="H13" i="4"/>
  <c r="I13" i="4"/>
  <c r="J13" i="4"/>
  <c r="K13" i="4"/>
  <c r="L13" i="4"/>
  <c r="F14" i="4"/>
  <c r="G14" i="4"/>
  <c r="H14" i="4"/>
  <c r="I14" i="4"/>
  <c r="J14" i="4"/>
  <c r="K14" i="4"/>
  <c r="L14" i="4"/>
  <c r="F15" i="4"/>
  <c r="G15" i="4"/>
  <c r="H15" i="4"/>
  <c r="I15" i="4"/>
  <c r="J15" i="4"/>
  <c r="K15" i="4"/>
  <c r="L15" i="4"/>
  <c r="F16" i="4"/>
  <c r="G16" i="4"/>
  <c r="H16" i="4"/>
  <c r="I16" i="4"/>
  <c r="J16" i="4"/>
  <c r="K16" i="4"/>
  <c r="L16" i="4"/>
  <c r="F17" i="4"/>
  <c r="G17" i="4"/>
  <c r="H17" i="4"/>
  <c r="I17" i="4"/>
  <c r="J17" i="4"/>
  <c r="K17" i="4"/>
  <c r="L17" i="4"/>
  <c r="F18" i="4"/>
  <c r="G18" i="4"/>
  <c r="H18" i="4"/>
  <c r="I18" i="4"/>
  <c r="J18" i="4"/>
  <c r="K18" i="4"/>
  <c r="L18" i="4"/>
  <c r="F19" i="4"/>
  <c r="G19" i="4"/>
  <c r="H19" i="4"/>
  <c r="I19" i="4"/>
  <c r="J19" i="4"/>
  <c r="K19" i="4"/>
  <c r="L19" i="4"/>
  <c r="F20" i="4"/>
  <c r="G20" i="4"/>
  <c r="H20" i="4"/>
  <c r="I20" i="4"/>
  <c r="J20" i="4"/>
  <c r="K20" i="4"/>
  <c r="L20" i="4"/>
  <c r="F21" i="4"/>
  <c r="G21" i="4"/>
  <c r="H21" i="4"/>
  <c r="I21" i="4"/>
  <c r="J21" i="4"/>
  <c r="K21" i="4"/>
  <c r="L21" i="4"/>
  <c r="F22" i="4"/>
  <c r="G22" i="4"/>
  <c r="H22" i="4"/>
  <c r="I22" i="4"/>
  <c r="J22" i="4"/>
  <c r="K22" i="4"/>
  <c r="L22" i="4"/>
  <c r="F23" i="4"/>
  <c r="G23" i="4"/>
  <c r="H23" i="4"/>
  <c r="I23" i="4"/>
  <c r="J23" i="4"/>
  <c r="K23" i="4"/>
  <c r="L23" i="4"/>
  <c r="F24" i="4"/>
  <c r="G24" i="4"/>
  <c r="H24" i="4"/>
  <c r="I24" i="4"/>
  <c r="J24" i="4"/>
  <c r="K24" i="4"/>
  <c r="L24" i="4"/>
  <c r="F25" i="4"/>
  <c r="G25" i="4"/>
  <c r="H25" i="4"/>
  <c r="I25" i="4"/>
  <c r="J25" i="4"/>
  <c r="K25" i="4"/>
  <c r="L25" i="4"/>
  <c r="F26" i="4"/>
  <c r="G26" i="4"/>
  <c r="H26" i="4"/>
  <c r="I26" i="4"/>
  <c r="J26" i="4"/>
  <c r="K26" i="4"/>
  <c r="L26" i="4"/>
  <c r="F27" i="4"/>
  <c r="G27" i="4"/>
  <c r="H27" i="4"/>
  <c r="I27" i="4"/>
  <c r="J27" i="4"/>
  <c r="K27" i="4"/>
  <c r="L27" i="4"/>
  <c r="F28" i="4"/>
  <c r="G28" i="4"/>
  <c r="H28" i="4"/>
  <c r="I28" i="4"/>
  <c r="J28" i="4"/>
  <c r="K28" i="4"/>
  <c r="L28" i="4"/>
  <c r="F29" i="4"/>
  <c r="G29" i="4"/>
  <c r="H29" i="4"/>
  <c r="I29" i="4"/>
  <c r="J29" i="4"/>
  <c r="K29" i="4"/>
  <c r="L29" i="4"/>
  <c r="F30" i="4"/>
  <c r="G30" i="4"/>
  <c r="H30" i="4"/>
  <c r="I30" i="4"/>
  <c r="J30" i="4"/>
  <c r="K30" i="4"/>
  <c r="L30" i="4"/>
  <c r="F31" i="4"/>
  <c r="G31" i="4"/>
  <c r="H31" i="4"/>
  <c r="I31" i="4"/>
  <c r="J31" i="4"/>
  <c r="K31" i="4"/>
  <c r="L31" i="4"/>
  <c r="F32" i="4"/>
  <c r="G32" i="4"/>
  <c r="H32" i="4"/>
  <c r="I32" i="4"/>
  <c r="J32" i="4"/>
  <c r="K32" i="4"/>
  <c r="L32" i="4"/>
  <c r="F33" i="4"/>
  <c r="G33" i="4"/>
  <c r="H33" i="4"/>
  <c r="I33" i="4"/>
  <c r="J33" i="4"/>
  <c r="K33" i="4"/>
  <c r="L33" i="4"/>
  <c r="F34" i="4"/>
  <c r="G34" i="4"/>
  <c r="H34" i="4"/>
  <c r="I34" i="4"/>
  <c r="J34" i="4"/>
  <c r="K34" i="4"/>
  <c r="L34" i="4"/>
  <c r="F35" i="4"/>
  <c r="G35" i="4"/>
  <c r="H35" i="4"/>
  <c r="I35" i="4"/>
  <c r="J35" i="4"/>
  <c r="K35" i="4"/>
  <c r="L35" i="4"/>
  <c r="F36" i="4"/>
  <c r="G36" i="4"/>
  <c r="H36" i="4"/>
  <c r="I36" i="4"/>
  <c r="J36" i="4"/>
  <c r="K36" i="4"/>
  <c r="L36" i="4"/>
  <c r="F37" i="4"/>
  <c r="G37" i="4"/>
  <c r="H37" i="4"/>
  <c r="I37" i="4"/>
  <c r="J37" i="4"/>
  <c r="K37" i="4"/>
  <c r="L37" i="4"/>
  <c r="F38" i="4"/>
  <c r="G38" i="4"/>
  <c r="H38" i="4"/>
  <c r="I38" i="4"/>
  <c r="J38" i="4"/>
  <c r="K38" i="4"/>
  <c r="L38" i="4"/>
  <c r="F39" i="4"/>
  <c r="G39" i="4"/>
  <c r="H39" i="4"/>
  <c r="I39" i="4"/>
  <c r="J39" i="4"/>
  <c r="K39" i="4"/>
  <c r="L39" i="4"/>
  <c r="F40" i="4"/>
  <c r="G40" i="4"/>
  <c r="H40" i="4"/>
  <c r="I40" i="4"/>
  <c r="J40" i="4"/>
  <c r="K40" i="4"/>
  <c r="L40" i="4"/>
  <c r="F41" i="4"/>
  <c r="G41" i="4"/>
  <c r="H41" i="4"/>
  <c r="I41" i="4"/>
  <c r="J41" i="4"/>
  <c r="K41" i="4"/>
  <c r="L41" i="4"/>
  <c r="F42" i="4"/>
  <c r="G42" i="4"/>
  <c r="H42" i="4"/>
  <c r="I42" i="4"/>
  <c r="J42" i="4"/>
  <c r="K42" i="4"/>
  <c r="L42" i="4"/>
  <c r="F43" i="4"/>
  <c r="G43" i="4"/>
  <c r="H43" i="4"/>
  <c r="I43" i="4"/>
  <c r="J43" i="4"/>
  <c r="K43" i="4"/>
  <c r="L43" i="4"/>
  <c r="F44" i="4"/>
  <c r="G44" i="4"/>
  <c r="H44" i="4"/>
  <c r="I44" i="4"/>
  <c r="J44" i="4"/>
  <c r="K44" i="4"/>
  <c r="L44" i="4"/>
  <c r="F45" i="4"/>
  <c r="G45" i="4"/>
  <c r="H45" i="4"/>
  <c r="I45" i="4"/>
  <c r="J45" i="4"/>
  <c r="K45" i="4"/>
  <c r="L45" i="4"/>
  <c r="F46" i="4"/>
  <c r="G46" i="4"/>
  <c r="H46" i="4"/>
  <c r="I46" i="4"/>
  <c r="J46" i="4"/>
  <c r="K46" i="4"/>
  <c r="L46" i="4"/>
  <c r="F47" i="4"/>
  <c r="G47" i="4"/>
  <c r="H47" i="4"/>
  <c r="I47" i="4"/>
  <c r="J47" i="4"/>
  <c r="K47" i="4"/>
  <c r="L47" i="4"/>
  <c r="F48" i="4"/>
  <c r="G48" i="4"/>
  <c r="H48" i="4"/>
  <c r="I48" i="4"/>
  <c r="J48" i="4"/>
  <c r="K48" i="4"/>
  <c r="L48" i="4"/>
  <c r="F49" i="4"/>
  <c r="G49" i="4"/>
  <c r="H49" i="4"/>
  <c r="I49" i="4"/>
  <c r="J49" i="4"/>
  <c r="K49" i="4"/>
  <c r="L49" i="4"/>
  <c r="F50" i="4"/>
  <c r="G50" i="4"/>
  <c r="H50" i="4"/>
  <c r="I50" i="4"/>
  <c r="J50" i="4"/>
  <c r="K50" i="4"/>
  <c r="L50" i="4"/>
  <c r="F51" i="4"/>
  <c r="G51" i="4"/>
  <c r="H51" i="4"/>
  <c r="I51" i="4"/>
  <c r="J51" i="4"/>
  <c r="K51" i="4"/>
  <c r="L51" i="4"/>
  <c r="F52" i="4"/>
  <c r="G52" i="4"/>
  <c r="H52" i="4"/>
  <c r="I52" i="4"/>
  <c r="J52" i="4"/>
  <c r="K52" i="4"/>
  <c r="L52" i="4"/>
  <c r="F53" i="4"/>
  <c r="G53" i="4"/>
  <c r="H53" i="4"/>
  <c r="I53" i="4"/>
  <c r="J53" i="4"/>
  <c r="K53" i="4"/>
  <c r="L53" i="4"/>
  <c r="F54" i="4"/>
  <c r="G54" i="4"/>
  <c r="H54" i="4"/>
  <c r="I54" i="4"/>
  <c r="J54" i="4"/>
  <c r="K54" i="4"/>
  <c r="L54" i="4"/>
  <c r="F55" i="4"/>
  <c r="G55" i="4"/>
  <c r="H55" i="4"/>
  <c r="I55" i="4"/>
  <c r="J55" i="4"/>
  <c r="K55" i="4"/>
  <c r="L55" i="4"/>
  <c r="F56" i="4"/>
  <c r="G56" i="4"/>
  <c r="H56" i="4"/>
  <c r="I56" i="4"/>
  <c r="J56" i="4"/>
  <c r="K56" i="4"/>
  <c r="L56" i="4"/>
  <c r="F57" i="4"/>
  <c r="G57" i="4"/>
  <c r="H57" i="4"/>
  <c r="I57" i="4"/>
  <c r="J57" i="4"/>
  <c r="K57" i="4"/>
  <c r="L57" i="4"/>
  <c r="F58" i="4"/>
  <c r="G58" i="4"/>
  <c r="H58" i="4"/>
  <c r="I58" i="4"/>
  <c r="J58" i="4"/>
  <c r="K58" i="4"/>
  <c r="L58" i="4"/>
  <c r="F59" i="4"/>
  <c r="G59" i="4"/>
  <c r="H59" i="4"/>
  <c r="I59" i="4"/>
  <c r="J59" i="4"/>
  <c r="K59" i="4"/>
  <c r="L59" i="4"/>
  <c r="F60" i="4"/>
  <c r="G60" i="4"/>
  <c r="H60" i="4"/>
  <c r="I60" i="4"/>
  <c r="J60" i="4"/>
  <c r="K60" i="4"/>
  <c r="L60" i="4"/>
  <c r="F61" i="4"/>
  <c r="G61" i="4"/>
  <c r="H61" i="4"/>
  <c r="I61" i="4"/>
  <c r="J61" i="4"/>
  <c r="K61" i="4"/>
  <c r="L61" i="4"/>
  <c r="F62" i="4"/>
  <c r="G62" i="4"/>
  <c r="H62" i="4"/>
  <c r="I62" i="4"/>
  <c r="J62" i="4"/>
  <c r="K62" i="4"/>
  <c r="L62" i="4"/>
  <c r="F63" i="4"/>
  <c r="G63" i="4"/>
  <c r="H63" i="4"/>
  <c r="I63" i="4"/>
  <c r="J63" i="4"/>
  <c r="K63" i="4"/>
  <c r="L63" i="4"/>
  <c r="F64" i="4"/>
  <c r="G64" i="4"/>
  <c r="H64" i="4"/>
  <c r="I64" i="4"/>
  <c r="J64" i="4"/>
  <c r="K64" i="4"/>
  <c r="L64" i="4"/>
  <c r="F65" i="4"/>
  <c r="G65" i="4"/>
  <c r="H65" i="4"/>
  <c r="I65" i="4"/>
  <c r="J65" i="4"/>
  <c r="K65" i="4"/>
  <c r="L65" i="4"/>
  <c r="F66" i="4"/>
  <c r="G66" i="4"/>
  <c r="H66" i="4"/>
  <c r="I66" i="4"/>
  <c r="J66" i="4"/>
  <c r="K66" i="4"/>
  <c r="L66" i="4"/>
  <c r="F67" i="4"/>
  <c r="G67" i="4"/>
  <c r="H67" i="4"/>
  <c r="I67" i="4"/>
  <c r="J67" i="4"/>
  <c r="K67" i="4"/>
  <c r="L67" i="4"/>
  <c r="F68" i="4"/>
  <c r="G68" i="4"/>
  <c r="H68" i="4"/>
  <c r="I68" i="4"/>
  <c r="J68" i="4"/>
  <c r="K68" i="4"/>
  <c r="L68" i="4"/>
  <c r="F69" i="4"/>
  <c r="G69" i="4"/>
  <c r="H69" i="4"/>
  <c r="I69" i="4"/>
  <c r="J69" i="4"/>
  <c r="K69" i="4"/>
  <c r="L69" i="4"/>
  <c r="F70" i="4"/>
  <c r="G70" i="4"/>
  <c r="H70" i="4"/>
  <c r="I70" i="4"/>
  <c r="J70" i="4"/>
  <c r="K70" i="4"/>
  <c r="L70" i="4"/>
  <c r="F71" i="4"/>
  <c r="G71" i="4"/>
  <c r="H71" i="4"/>
  <c r="I71" i="4"/>
  <c r="J71" i="4"/>
  <c r="K71" i="4"/>
  <c r="L71" i="4"/>
  <c r="F72" i="4"/>
  <c r="G72" i="4"/>
  <c r="H72" i="4"/>
  <c r="I72" i="4"/>
  <c r="J72" i="4"/>
  <c r="K72" i="4"/>
  <c r="L72" i="4"/>
  <c r="F73" i="4"/>
  <c r="G73" i="4"/>
  <c r="H73" i="4"/>
  <c r="I73" i="4"/>
  <c r="J73" i="4"/>
  <c r="K73" i="4"/>
  <c r="L73" i="4"/>
  <c r="F74" i="4"/>
  <c r="G74" i="4"/>
  <c r="H74" i="4"/>
  <c r="I74" i="4"/>
  <c r="J74" i="4"/>
  <c r="K74" i="4"/>
  <c r="L74" i="4"/>
  <c r="F75" i="4"/>
  <c r="G75" i="4"/>
  <c r="H75" i="4"/>
  <c r="I75" i="4"/>
  <c r="J75" i="4"/>
  <c r="K75" i="4"/>
  <c r="L75" i="4"/>
  <c r="F76" i="4"/>
  <c r="G76" i="4"/>
  <c r="H76" i="4"/>
  <c r="I76" i="4"/>
  <c r="J76" i="4"/>
  <c r="K76" i="4"/>
  <c r="L76" i="4"/>
  <c r="F77" i="4"/>
  <c r="G77" i="4"/>
  <c r="H77" i="4"/>
  <c r="I77" i="4"/>
  <c r="J77" i="4"/>
  <c r="K77" i="4"/>
  <c r="L77" i="4"/>
  <c r="F78" i="4"/>
  <c r="G78" i="4"/>
  <c r="H78" i="4"/>
  <c r="I78" i="4"/>
  <c r="J78" i="4"/>
  <c r="K78" i="4"/>
  <c r="L78" i="4"/>
  <c r="F79" i="4"/>
  <c r="G79" i="4"/>
  <c r="H79" i="4"/>
  <c r="I79" i="4"/>
  <c r="J79" i="4"/>
  <c r="K79" i="4"/>
  <c r="L79" i="4"/>
  <c r="F80" i="4"/>
  <c r="G80" i="4"/>
  <c r="H80" i="4"/>
  <c r="I80" i="4"/>
  <c r="J80" i="4"/>
  <c r="K80" i="4"/>
  <c r="L80" i="4"/>
  <c r="F81" i="4"/>
  <c r="G81" i="4"/>
  <c r="H81" i="4"/>
  <c r="I81" i="4"/>
  <c r="J81" i="4"/>
  <c r="K81" i="4"/>
  <c r="L81" i="4"/>
  <c r="F82" i="4"/>
  <c r="G82" i="4"/>
  <c r="H82" i="4"/>
  <c r="I82" i="4"/>
  <c r="J82" i="4"/>
  <c r="K82" i="4"/>
  <c r="L82" i="4"/>
  <c r="F83" i="4"/>
  <c r="G83" i="4"/>
  <c r="H83" i="4"/>
  <c r="I83" i="4"/>
  <c r="J83" i="4"/>
  <c r="K83" i="4"/>
  <c r="L83" i="4"/>
  <c r="F84" i="4"/>
  <c r="G84" i="4"/>
  <c r="H84" i="4"/>
  <c r="I84" i="4"/>
  <c r="J84" i="4"/>
  <c r="K84" i="4"/>
  <c r="L84" i="4"/>
  <c r="F85" i="4"/>
  <c r="G85" i="4"/>
  <c r="H85" i="4"/>
  <c r="I85" i="4"/>
  <c r="J85" i="4"/>
  <c r="K85" i="4"/>
  <c r="L85" i="4"/>
  <c r="F86" i="4"/>
  <c r="G86" i="4"/>
  <c r="H86" i="4"/>
  <c r="I86" i="4"/>
  <c r="J86" i="4"/>
  <c r="K86" i="4"/>
  <c r="L86" i="4"/>
  <c r="F87" i="4"/>
  <c r="G87" i="4"/>
  <c r="H87" i="4"/>
  <c r="I87" i="4"/>
  <c r="J87" i="4"/>
  <c r="K87" i="4"/>
  <c r="L87" i="4"/>
  <c r="F88" i="4"/>
  <c r="G88" i="4"/>
  <c r="H88" i="4"/>
  <c r="I88" i="4"/>
  <c r="J88" i="4"/>
  <c r="K88" i="4"/>
  <c r="L88" i="4"/>
  <c r="F89" i="4"/>
  <c r="G89" i="4"/>
  <c r="H89" i="4"/>
  <c r="I89" i="4"/>
  <c r="J89" i="4"/>
  <c r="K89" i="4"/>
  <c r="L89" i="4"/>
  <c r="F90" i="4"/>
  <c r="G90" i="4"/>
  <c r="H90" i="4"/>
  <c r="I90" i="4"/>
  <c r="J90" i="4"/>
  <c r="K90" i="4"/>
  <c r="L90" i="4"/>
  <c r="F91" i="4"/>
  <c r="G91" i="4"/>
  <c r="H91" i="4"/>
  <c r="I91" i="4"/>
  <c r="J91" i="4"/>
  <c r="K91" i="4"/>
  <c r="L91" i="4"/>
  <c r="F92" i="4"/>
  <c r="G92" i="4"/>
  <c r="H92" i="4"/>
  <c r="I92" i="4"/>
  <c r="J92" i="4"/>
  <c r="K92" i="4"/>
  <c r="L92" i="4"/>
  <c r="F93" i="4"/>
  <c r="G93" i="4"/>
  <c r="H93" i="4"/>
  <c r="I93" i="4"/>
  <c r="J93" i="4"/>
  <c r="K93" i="4"/>
  <c r="L93" i="4"/>
  <c r="F94" i="4"/>
  <c r="G94" i="4"/>
  <c r="H94" i="4"/>
  <c r="I94" i="4"/>
  <c r="J94" i="4"/>
  <c r="K94" i="4"/>
  <c r="L94" i="4"/>
  <c r="F95" i="4"/>
  <c r="G95" i="4"/>
  <c r="H95" i="4"/>
  <c r="I95" i="4"/>
  <c r="J95" i="4"/>
  <c r="K95" i="4"/>
  <c r="L95" i="4"/>
  <c r="F96" i="4"/>
  <c r="G96" i="4"/>
  <c r="H96" i="4"/>
  <c r="I96" i="4"/>
  <c r="J96" i="4"/>
  <c r="K96" i="4"/>
  <c r="L96" i="4"/>
  <c r="F97" i="4"/>
  <c r="G97" i="4"/>
  <c r="H97" i="4"/>
  <c r="I97" i="4"/>
  <c r="J97" i="4"/>
  <c r="K97" i="4"/>
  <c r="L97" i="4"/>
  <c r="F98" i="4"/>
  <c r="G98" i="4"/>
  <c r="H98" i="4"/>
  <c r="I98" i="4"/>
  <c r="J98" i="4"/>
  <c r="K98" i="4"/>
  <c r="L98" i="4"/>
  <c r="F99" i="4"/>
  <c r="G99" i="4"/>
  <c r="H99" i="4"/>
  <c r="I99" i="4"/>
  <c r="J99" i="4"/>
  <c r="K99" i="4"/>
  <c r="L99" i="4"/>
  <c r="F100" i="4"/>
  <c r="G100" i="4"/>
  <c r="H100" i="4"/>
  <c r="I100" i="4"/>
  <c r="J100" i="4"/>
  <c r="K100" i="4"/>
  <c r="L100" i="4"/>
  <c r="F101" i="4"/>
  <c r="G101" i="4"/>
  <c r="H101" i="4"/>
  <c r="I101" i="4"/>
  <c r="J101" i="4"/>
  <c r="K101" i="4"/>
  <c r="L101" i="4"/>
  <c r="F102" i="4"/>
  <c r="G102" i="4"/>
  <c r="H102" i="4"/>
  <c r="I102" i="4"/>
  <c r="J102" i="4"/>
  <c r="K102" i="4"/>
  <c r="L102" i="4"/>
  <c r="F103" i="4"/>
  <c r="G103" i="4"/>
  <c r="H103" i="4"/>
  <c r="I103" i="4"/>
  <c r="J103" i="4"/>
  <c r="K103" i="4"/>
  <c r="L103" i="4"/>
  <c r="F104" i="4"/>
  <c r="G104" i="4"/>
  <c r="H104" i="4"/>
  <c r="I104" i="4"/>
  <c r="J104" i="4"/>
  <c r="K104" i="4"/>
  <c r="L104" i="4"/>
  <c r="F105" i="4"/>
  <c r="G105" i="4"/>
  <c r="H105" i="4"/>
  <c r="I105" i="4"/>
  <c r="J105" i="4"/>
  <c r="K105" i="4"/>
  <c r="L105" i="4"/>
  <c r="F106" i="4"/>
  <c r="G106" i="4"/>
  <c r="H106" i="4"/>
  <c r="I106" i="4"/>
  <c r="J106" i="4"/>
  <c r="K106" i="4"/>
  <c r="L106" i="4"/>
  <c r="F107" i="4"/>
  <c r="G107" i="4"/>
  <c r="H107" i="4"/>
  <c r="I107" i="4"/>
  <c r="J107" i="4"/>
  <c r="K107" i="4"/>
  <c r="L107" i="4"/>
  <c r="F108" i="4"/>
  <c r="G108" i="4"/>
  <c r="H108" i="4"/>
  <c r="I108" i="4"/>
  <c r="J108" i="4"/>
  <c r="K108" i="4"/>
  <c r="L108" i="4"/>
  <c r="F109" i="4"/>
  <c r="G109" i="4"/>
  <c r="H109" i="4"/>
  <c r="I109" i="4"/>
  <c r="J109" i="4"/>
  <c r="K109" i="4"/>
  <c r="L109" i="4"/>
  <c r="F110" i="4"/>
  <c r="G110" i="4"/>
  <c r="H110" i="4"/>
  <c r="I110" i="4"/>
  <c r="J110" i="4"/>
  <c r="K110" i="4"/>
  <c r="L110" i="4"/>
  <c r="F111" i="4"/>
  <c r="G111" i="4"/>
  <c r="H111" i="4"/>
  <c r="I111" i="4"/>
  <c r="J111" i="4"/>
  <c r="K111" i="4"/>
  <c r="L111" i="4"/>
  <c r="F112" i="4"/>
  <c r="G112" i="4"/>
  <c r="H112" i="4"/>
  <c r="I112" i="4"/>
  <c r="J112" i="4"/>
  <c r="K112" i="4"/>
  <c r="L112" i="4"/>
  <c r="F113" i="4"/>
  <c r="G113" i="4"/>
  <c r="H113" i="4"/>
  <c r="I113" i="4"/>
  <c r="J113" i="4"/>
  <c r="K113" i="4"/>
  <c r="L113" i="4"/>
  <c r="F114" i="4"/>
  <c r="G114" i="4"/>
  <c r="H114" i="4"/>
  <c r="I114" i="4"/>
  <c r="J114" i="4"/>
  <c r="K114" i="4"/>
  <c r="L114" i="4"/>
  <c r="F115" i="4"/>
  <c r="G115" i="4"/>
  <c r="H115" i="4"/>
  <c r="I115" i="4"/>
  <c r="J115" i="4"/>
  <c r="K115" i="4"/>
  <c r="L115" i="4"/>
  <c r="F116" i="4"/>
  <c r="G116" i="4"/>
  <c r="H116" i="4"/>
  <c r="I116" i="4"/>
  <c r="J116" i="4"/>
  <c r="K116" i="4"/>
  <c r="L116" i="4"/>
  <c r="F117" i="4"/>
  <c r="G117" i="4"/>
  <c r="H117" i="4"/>
  <c r="I117" i="4"/>
  <c r="J117" i="4"/>
  <c r="K117" i="4"/>
  <c r="L117" i="4"/>
  <c r="F118" i="4"/>
  <c r="G118" i="4"/>
  <c r="H118" i="4"/>
  <c r="I118" i="4"/>
  <c r="J118" i="4"/>
  <c r="K118" i="4"/>
  <c r="L118" i="4"/>
  <c r="F119" i="4"/>
  <c r="G119" i="4"/>
  <c r="H119" i="4"/>
  <c r="I119" i="4"/>
  <c r="J119" i="4"/>
  <c r="K119" i="4"/>
  <c r="L119" i="4"/>
  <c r="F120" i="4"/>
  <c r="G120" i="4"/>
  <c r="H120" i="4"/>
  <c r="I120" i="4"/>
  <c r="J120" i="4"/>
  <c r="K120" i="4"/>
  <c r="L120" i="4"/>
  <c r="F121" i="4"/>
  <c r="G121" i="4"/>
  <c r="H121" i="4"/>
  <c r="I121" i="4"/>
  <c r="J121" i="4"/>
  <c r="K121" i="4"/>
  <c r="L121" i="4"/>
  <c r="F122" i="4"/>
  <c r="G122" i="4"/>
  <c r="H122" i="4"/>
  <c r="I122" i="4"/>
  <c r="J122" i="4"/>
  <c r="K122" i="4"/>
  <c r="L122" i="4"/>
  <c r="F123" i="4"/>
  <c r="G123" i="4"/>
  <c r="H123" i="4"/>
  <c r="I123" i="4"/>
  <c r="J123" i="4"/>
  <c r="K123" i="4"/>
  <c r="L123" i="4"/>
  <c r="F124" i="4"/>
  <c r="G124" i="4"/>
  <c r="H124" i="4"/>
  <c r="I124" i="4"/>
  <c r="J124" i="4"/>
  <c r="K124" i="4"/>
  <c r="L124" i="4"/>
  <c r="F125" i="4"/>
  <c r="G125" i="4"/>
  <c r="H125" i="4"/>
  <c r="I125" i="4"/>
  <c r="J125" i="4"/>
  <c r="K125" i="4"/>
  <c r="L125" i="4"/>
  <c r="F126" i="4"/>
  <c r="G126" i="4"/>
  <c r="H126" i="4"/>
  <c r="I126" i="4"/>
  <c r="J126" i="4"/>
  <c r="K126" i="4"/>
  <c r="L126" i="4"/>
  <c r="F127" i="4"/>
  <c r="G127" i="4"/>
  <c r="H127" i="4"/>
  <c r="I127" i="4"/>
  <c r="J127" i="4"/>
  <c r="K127" i="4"/>
  <c r="L127" i="4"/>
  <c r="F128" i="4"/>
  <c r="G128" i="4"/>
  <c r="H128" i="4"/>
  <c r="I128" i="4"/>
  <c r="J128" i="4"/>
  <c r="K128" i="4"/>
  <c r="L128" i="4"/>
  <c r="F129" i="4"/>
  <c r="G129" i="4"/>
  <c r="H129" i="4"/>
  <c r="I129" i="4"/>
  <c r="J129" i="4"/>
  <c r="K129" i="4"/>
  <c r="L129" i="4"/>
  <c r="F130" i="4"/>
  <c r="G130" i="4"/>
  <c r="H130" i="4"/>
  <c r="I130" i="4"/>
  <c r="J130" i="4"/>
  <c r="K130" i="4"/>
  <c r="L130" i="4"/>
  <c r="F131" i="4"/>
  <c r="G131" i="4"/>
  <c r="H131" i="4"/>
  <c r="I131" i="4"/>
  <c r="J131" i="4"/>
  <c r="K131" i="4"/>
  <c r="L131" i="4"/>
  <c r="F132" i="4"/>
  <c r="G132" i="4"/>
  <c r="H132" i="4"/>
  <c r="I132" i="4"/>
  <c r="J132" i="4"/>
  <c r="K132" i="4"/>
  <c r="L132" i="4"/>
  <c r="F133" i="4"/>
  <c r="G133" i="4"/>
  <c r="H133" i="4"/>
  <c r="I133" i="4"/>
  <c r="J133" i="4"/>
  <c r="K133" i="4"/>
  <c r="L133" i="4"/>
  <c r="F134" i="4"/>
  <c r="G134" i="4"/>
  <c r="H134" i="4"/>
  <c r="I134" i="4"/>
  <c r="J134" i="4"/>
  <c r="K134" i="4"/>
  <c r="L134" i="4"/>
  <c r="F135" i="4"/>
  <c r="G135" i="4"/>
  <c r="H135" i="4"/>
  <c r="I135" i="4"/>
  <c r="J135" i="4"/>
  <c r="K135" i="4"/>
  <c r="L135" i="4"/>
  <c r="F136" i="4"/>
  <c r="G136" i="4"/>
  <c r="H136" i="4"/>
  <c r="I136" i="4"/>
  <c r="J136" i="4"/>
  <c r="K136" i="4"/>
  <c r="L136" i="4"/>
  <c r="F137" i="4"/>
  <c r="G137" i="4"/>
  <c r="H137" i="4"/>
  <c r="I137" i="4"/>
  <c r="J137" i="4"/>
  <c r="K137" i="4"/>
  <c r="L137" i="4"/>
  <c r="F138" i="4"/>
  <c r="G138" i="4"/>
  <c r="H138" i="4"/>
  <c r="I138" i="4"/>
  <c r="J138" i="4"/>
  <c r="K138" i="4"/>
  <c r="L138" i="4"/>
  <c r="F139" i="4"/>
  <c r="G139" i="4"/>
  <c r="H139" i="4"/>
  <c r="I139" i="4"/>
  <c r="J139" i="4"/>
  <c r="K139" i="4"/>
  <c r="L139" i="4"/>
  <c r="F140" i="4"/>
  <c r="G140" i="4"/>
  <c r="H140" i="4"/>
  <c r="I140" i="4"/>
  <c r="J140" i="4"/>
  <c r="K140" i="4"/>
  <c r="L140" i="4"/>
  <c r="F141" i="4"/>
  <c r="G141" i="4"/>
  <c r="H141" i="4"/>
  <c r="I141" i="4"/>
  <c r="J141" i="4"/>
  <c r="K141" i="4"/>
  <c r="L141" i="4"/>
  <c r="F142" i="4"/>
  <c r="G142" i="4"/>
  <c r="H142" i="4"/>
  <c r="I142" i="4"/>
  <c r="J142" i="4"/>
  <c r="K142" i="4"/>
  <c r="L142" i="4"/>
  <c r="F143" i="4"/>
  <c r="G143" i="4"/>
  <c r="H143" i="4"/>
  <c r="I143" i="4"/>
  <c r="J143" i="4"/>
  <c r="K143" i="4"/>
  <c r="L143" i="4"/>
  <c r="F144" i="4"/>
  <c r="G144" i="4"/>
  <c r="H144" i="4"/>
  <c r="I144" i="4"/>
  <c r="J144" i="4"/>
  <c r="K144" i="4"/>
  <c r="L144" i="4"/>
  <c r="F145" i="4"/>
  <c r="G145" i="4"/>
  <c r="H145" i="4"/>
  <c r="I145" i="4"/>
  <c r="J145" i="4"/>
  <c r="K145" i="4"/>
  <c r="L145" i="4"/>
  <c r="F146" i="4"/>
  <c r="G146" i="4"/>
  <c r="H146" i="4"/>
  <c r="I146" i="4"/>
  <c r="J146" i="4"/>
  <c r="K146" i="4"/>
  <c r="L146" i="4"/>
  <c r="F147" i="4"/>
  <c r="G147" i="4"/>
  <c r="H147" i="4"/>
  <c r="I147" i="4"/>
  <c r="J147" i="4"/>
  <c r="K147" i="4"/>
  <c r="L147" i="4"/>
  <c r="F148" i="4"/>
  <c r="G148" i="4"/>
  <c r="H148" i="4"/>
  <c r="I148" i="4"/>
  <c r="J148" i="4"/>
  <c r="K148" i="4"/>
  <c r="L148" i="4"/>
  <c r="F149" i="4"/>
  <c r="G149" i="4"/>
  <c r="H149" i="4"/>
  <c r="I149" i="4"/>
  <c r="J149" i="4"/>
  <c r="K149" i="4"/>
  <c r="L149" i="4"/>
  <c r="F150" i="4"/>
  <c r="G150" i="4"/>
  <c r="H150" i="4"/>
  <c r="I150" i="4"/>
  <c r="J150" i="4"/>
  <c r="K150" i="4"/>
  <c r="L150" i="4"/>
  <c r="F151" i="4"/>
  <c r="G151" i="4"/>
  <c r="H151" i="4"/>
  <c r="I151" i="4"/>
  <c r="J151" i="4"/>
  <c r="K151" i="4"/>
  <c r="L151" i="4"/>
  <c r="F152" i="4"/>
  <c r="G152" i="4"/>
  <c r="H152" i="4"/>
  <c r="I152" i="4"/>
  <c r="J152" i="4"/>
  <c r="K152" i="4"/>
  <c r="L152" i="4"/>
  <c r="F153" i="4"/>
  <c r="G153" i="4"/>
  <c r="H153" i="4"/>
  <c r="I153" i="4"/>
  <c r="J153" i="4"/>
  <c r="K153" i="4"/>
  <c r="L153" i="4"/>
  <c r="F154" i="4"/>
  <c r="G154" i="4"/>
  <c r="H154" i="4"/>
  <c r="I154" i="4"/>
  <c r="J154" i="4"/>
  <c r="K154" i="4"/>
  <c r="L154" i="4"/>
  <c r="F155" i="4"/>
  <c r="G155" i="4"/>
  <c r="H155" i="4"/>
  <c r="I155" i="4"/>
  <c r="J155" i="4"/>
  <c r="K155" i="4"/>
  <c r="L155" i="4"/>
  <c r="F156" i="4"/>
  <c r="G156" i="4"/>
  <c r="H156" i="4"/>
  <c r="I156" i="4"/>
  <c r="J156" i="4"/>
  <c r="K156" i="4"/>
  <c r="L156" i="4"/>
  <c r="F157" i="4"/>
  <c r="G157" i="4"/>
  <c r="H157" i="4"/>
  <c r="I157" i="4"/>
  <c r="J157" i="4"/>
  <c r="K157" i="4"/>
  <c r="L157" i="4"/>
  <c r="F158" i="4"/>
  <c r="G158" i="4"/>
  <c r="H158" i="4"/>
  <c r="I158" i="4"/>
  <c r="J158" i="4"/>
  <c r="K158" i="4"/>
  <c r="L158" i="4"/>
  <c r="F159" i="4"/>
  <c r="G159" i="4"/>
  <c r="H159" i="4"/>
  <c r="I159" i="4"/>
  <c r="J159" i="4"/>
  <c r="K159" i="4"/>
  <c r="L159" i="4"/>
  <c r="F160" i="4"/>
  <c r="G160" i="4"/>
  <c r="H160" i="4"/>
  <c r="I160" i="4"/>
  <c r="J160" i="4"/>
  <c r="K160" i="4"/>
  <c r="L160" i="4"/>
  <c r="F161" i="4"/>
  <c r="G161" i="4"/>
  <c r="H161" i="4"/>
  <c r="I161" i="4"/>
  <c r="J161" i="4"/>
  <c r="K161" i="4"/>
  <c r="L161" i="4"/>
  <c r="F162" i="4"/>
  <c r="G162" i="4"/>
  <c r="H162" i="4"/>
  <c r="I162" i="4"/>
  <c r="J162" i="4"/>
  <c r="K162" i="4"/>
  <c r="L162" i="4"/>
  <c r="F163" i="4"/>
  <c r="G163" i="4"/>
  <c r="H163" i="4"/>
  <c r="I163" i="4"/>
  <c r="J163" i="4"/>
  <c r="K163" i="4"/>
  <c r="L163" i="4"/>
  <c r="F164" i="4"/>
  <c r="G164" i="4"/>
  <c r="H164" i="4"/>
  <c r="I164" i="4"/>
  <c r="J164" i="4"/>
  <c r="K164" i="4"/>
  <c r="L164" i="4"/>
  <c r="F165" i="4"/>
  <c r="G165" i="4"/>
  <c r="H165" i="4"/>
  <c r="I165" i="4"/>
  <c r="J165" i="4"/>
  <c r="K165" i="4"/>
  <c r="L165" i="4"/>
  <c r="F166" i="4"/>
  <c r="G166" i="4"/>
  <c r="H166" i="4"/>
  <c r="I166" i="4"/>
  <c r="J166" i="4"/>
  <c r="K166" i="4"/>
  <c r="L166" i="4"/>
  <c r="F167" i="4"/>
  <c r="G167" i="4"/>
  <c r="H167" i="4"/>
  <c r="I167" i="4"/>
  <c r="J167" i="4"/>
  <c r="K167" i="4"/>
  <c r="L167" i="4"/>
  <c r="F168" i="4"/>
  <c r="G168" i="4"/>
  <c r="H168" i="4"/>
  <c r="I168" i="4"/>
  <c r="J168" i="4"/>
  <c r="K168" i="4"/>
  <c r="L168" i="4"/>
  <c r="F169" i="4"/>
  <c r="G169" i="4"/>
  <c r="H169" i="4"/>
  <c r="I169" i="4"/>
  <c r="J169" i="4"/>
  <c r="K169" i="4"/>
  <c r="L169" i="4"/>
  <c r="F170" i="4"/>
  <c r="G170" i="4"/>
  <c r="H170" i="4"/>
  <c r="I170" i="4"/>
  <c r="J170" i="4"/>
  <c r="K170" i="4"/>
  <c r="L170" i="4"/>
  <c r="F171" i="4"/>
  <c r="G171" i="4"/>
  <c r="H171" i="4"/>
  <c r="I171" i="4"/>
  <c r="J171" i="4"/>
  <c r="K171" i="4"/>
  <c r="L171" i="4"/>
  <c r="F172" i="4"/>
  <c r="G172" i="4"/>
  <c r="H172" i="4"/>
  <c r="I172" i="4"/>
  <c r="J172" i="4"/>
  <c r="K172" i="4"/>
  <c r="L172" i="4"/>
  <c r="F173" i="4"/>
  <c r="G173" i="4"/>
  <c r="H173" i="4"/>
  <c r="I173" i="4"/>
  <c r="J173" i="4"/>
  <c r="K173" i="4"/>
  <c r="L173" i="4"/>
  <c r="F174" i="4"/>
  <c r="G174" i="4"/>
  <c r="H174" i="4"/>
  <c r="I174" i="4"/>
  <c r="J174" i="4"/>
  <c r="K174" i="4"/>
  <c r="L174" i="4"/>
  <c r="F175" i="4"/>
  <c r="G175" i="4"/>
  <c r="H175" i="4"/>
  <c r="I175" i="4"/>
  <c r="J175" i="4"/>
  <c r="K175" i="4"/>
  <c r="L175" i="4"/>
  <c r="F176" i="4"/>
  <c r="G176" i="4"/>
  <c r="H176" i="4"/>
  <c r="I176" i="4"/>
  <c r="J176" i="4"/>
  <c r="K176" i="4"/>
  <c r="L176" i="4"/>
  <c r="F177" i="4"/>
  <c r="G177" i="4"/>
  <c r="H177" i="4"/>
  <c r="I177" i="4"/>
  <c r="J177" i="4"/>
  <c r="K177" i="4"/>
  <c r="L177" i="4"/>
  <c r="F178" i="4"/>
  <c r="G178" i="4"/>
  <c r="H178" i="4"/>
  <c r="I178" i="4"/>
  <c r="J178" i="4"/>
  <c r="K178" i="4"/>
  <c r="L178" i="4"/>
  <c r="F179" i="4"/>
  <c r="G179" i="4"/>
  <c r="H179" i="4"/>
  <c r="I179" i="4"/>
  <c r="J179" i="4"/>
  <c r="K179" i="4"/>
  <c r="L179" i="4"/>
  <c r="F180" i="4"/>
  <c r="G180" i="4"/>
  <c r="H180" i="4"/>
  <c r="I180" i="4"/>
  <c r="J180" i="4"/>
  <c r="K180" i="4"/>
  <c r="L180" i="4"/>
  <c r="F181" i="4"/>
  <c r="G181" i="4"/>
  <c r="H181" i="4"/>
  <c r="I181" i="4"/>
  <c r="J181" i="4"/>
  <c r="K181" i="4"/>
  <c r="L181" i="4"/>
  <c r="F182" i="4"/>
  <c r="G182" i="4"/>
  <c r="H182" i="4"/>
  <c r="I182" i="4"/>
  <c r="J182" i="4"/>
  <c r="K182" i="4"/>
  <c r="L182" i="4"/>
  <c r="F183" i="4"/>
  <c r="G183" i="4"/>
  <c r="H183" i="4"/>
  <c r="I183" i="4"/>
  <c r="J183" i="4"/>
  <c r="K183" i="4"/>
  <c r="L183" i="4"/>
  <c r="F184" i="4"/>
  <c r="G184" i="4"/>
  <c r="H184" i="4"/>
  <c r="I184" i="4"/>
  <c r="J184" i="4"/>
  <c r="K184" i="4"/>
  <c r="L184" i="4"/>
  <c r="F185" i="4"/>
  <c r="G185" i="4"/>
  <c r="H185" i="4"/>
  <c r="I185" i="4"/>
  <c r="J185" i="4"/>
  <c r="K185" i="4"/>
  <c r="L185" i="4"/>
  <c r="F186" i="4"/>
  <c r="G186" i="4"/>
  <c r="H186" i="4"/>
  <c r="I186" i="4"/>
  <c r="J186" i="4"/>
  <c r="K186" i="4"/>
  <c r="L186" i="4"/>
  <c r="F187" i="4"/>
  <c r="G187" i="4"/>
  <c r="H187" i="4"/>
  <c r="I187" i="4"/>
  <c r="J187" i="4"/>
  <c r="K187" i="4"/>
  <c r="L187" i="4"/>
  <c r="F188" i="4"/>
  <c r="G188" i="4"/>
  <c r="H188" i="4"/>
  <c r="I188" i="4"/>
  <c r="J188" i="4"/>
  <c r="K188" i="4"/>
  <c r="L188" i="4"/>
  <c r="F189" i="4"/>
  <c r="G189" i="4"/>
  <c r="H189" i="4"/>
  <c r="I189" i="4"/>
  <c r="J189" i="4"/>
  <c r="K189" i="4"/>
  <c r="L189" i="4"/>
  <c r="F190" i="4"/>
  <c r="G190" i="4"/>
  <c r="H190" i="4"/>
  <c r="I190" i="4"/>
  <c r="J190" i="4"/>
  <c r="K190" i="4"/>
  <c r="L190" i="4"/>
  <c r="F191" i="4"/>
  <c r="G191" i="4"/>
  <c r="H191" i="4"/>
  <c r="I191" i="4"/>
  <c r="J191" i="4"/>
  <c r="K191" i="4"/>
  <c r="L191" i="4"/>
  <c r="F192" i="4"/>
  <c r="G192" i="4"/>
  <c r="H192" i="4"/>
  <c r="I192" i="4"/>
  <c r="J192" i="4"/>
  <c r="K192" i="4"/>
  <c r="L192" i="4"/>
  <c r="F193" i="4"/>
  <c r="G193" i="4"/>
  <c r="H193" i="4"/>
  <c r="I193" i="4"/>
  <c r="J193" i="4"/>
  <c r="K193" i="4"/>
  <c r="L193" i="4"/>
  <c r="F194" i="4"/>
  <c r="G194" i="4"/>
  <c r="H194" i="4"/>
  <c r="I194" i="4"/>
  <c r="J194" i="4"/>
  <c r="K194" i="4"/>
  <c r="L194" i="4"/>
  <c r="F195" i="4"/>
  <c r="G195" i="4"/>
  <c r="H195" i="4"/>
  <c r="I195" i="4"/>
  <c r="J195" i="4"/>
  <c r="K195" i="4"/>
  <c r="L195" i="4"/>
  <c r="F196" i="4"/>
  <c r="G196" i="4"/>
  <c r="H196" i="4"/>
  <c r="I196" i="4"/>
  <c r="J196" i="4"/>
  <c r="K196" i="4"/>
  <c r="L196" i="4"/>
  <c r="F197" i="4"/>
  <c r="G197" i="4"/>
  <c r="H197" i="4"/>
  <c r="I197" i="4"/>
  <c r="J197" i="4"/>
  <c r="K197" i="4"/>
  <c r="L197" i="4"/>
  <c r="F198" i="4"/>
  <c r="G198" i="4"/>
  <c r="H198" i="4"/>
  <c r="I198" i="4"/>
  <c r="J198" i="4"/>
  <c r="K198" i="4"/>
  <c r="L198" i="4"/>
  <c r="F199" i="4"/>
  <c r="G199" i="4"/>
  <c r="H199" i="4"/>
  <c r="I199" i="4"/>
  <c r="J199" i="4"/>
  <c r="K199" i="4"/>
  <c r="L199" i="4"/>
  <c r="F200" i="4"/>
  <c r="G200" i="4"/>
  <c r="H200" i="4"/>
  <c r="I200" i="4"/>
  <c r="J200" i="4"/>
  <c r="K200" i="4"/>
  <c r="L200" i="4"/>
  <c r="F201" i="4"/>
  <c r="G201" i="4"/>
  <c r="H201" i="4"/>
  <c r="I201" i="4"/>
  <c r="J201" i="4"/>
  <c r="K201" i="4"/>
  <c r="L201" i="4"/>
  <c r="F202" i="4"/>
  <c r="G202" i="4"/>
  <c r="H202" i="4"/>
  <c r="I202" i="4"/>
  <c r="J202" i="4"/>
  <c r="K202" i="4"/>
  <c r="L202" i="4"/>
  <c r="F203" i="4"/>
  <c r="G203" i="4"/>
  <c r="H203" i="4"/>
  <c r="I203" i="4"/>
  <c r="J203" i="4"/>
  <c r="K203" i="4"/>
  <c r="L203" i="4"/>
  <c r="F204" i="4"/>
  <c r="G204" i="4"/>
  <c r="H204" i="4"/>
  <c r="I204" i="4"/>
  <c r="J204" i="4"/>
  <c r="K204" i="4"/>
  <c r="L204" i="4"/>
  <c r="F205" i="4"/>
  <c r="G205" i="4"/>
  <c r="H205" i="4"/>
  <c r="I205" i="4"/>
  <c r="J205" i="4"/>
  <c r="K205" i="4"/>
  <c r="L205" i="4"/>
  <c r="F206" i="4"/>
  <c r="G206" i="4"/>
  <c r="H206" i="4"/>
  <c r="I206" i="4"/>
  <c r="J206" i="4"/>
  <c r="K206" i="4"/>
  <c r="L206" i="4"/>
  <c r="F207" i="4"/>
  <c r="G207" i="4"/>
  <c r="H207" i="4"/>
  <c r="I207" i="4"/>
  <c r="J207" i="4"/>
  <c r="K207" i="4"/>
  <c r="L207" i="4"/>
  <c r="F208" i="4"/>
  <c r="G208" i="4"/>
  <c r="H208" i="4"/>
  <c r="I208" i="4"/>
  <c r="J208" i="4"/>
  <c r="K208" i="4"/>
  <c r="L208" i="4"/>
  <c r="F209" i="4"/>
  <c r="G209" i="4"/>
  <c r="H209" i="4"/>
  <c r="I209" i="4"/>
  <c r="J209" i="4"/>
  <c r="K209" i="4"/>
  <c r="L209" i="4"/>
  <c r="F210" i="4"/>
  <c r="G210" i="4"/>
  <c r="H210" i="4"/>
  <c r="I210" i="4"/>
  <c r="J210" i="4"/>
  <c r="K210" i="4"/>
  <c r="L210" i="4"/>
  <c r="F211" i="4"/>
  <c r="G211" i="4"/>
  <c r="H211" i="4"/>
  <c r="I211" i="4"/>
  <c r="J211" i="4"/>
  <c r="K211" i="4"/>
  <c r="L211" i="4"/>
  <c r="F212" i="4"/>
  <c r="G212" i="4"/>
  <c r="H212" i="4"/>
  <c r="I212" i="4"/>
  <c r="J212" i="4"/>
  <c r="K212" i="4"/>
  <c r="L212" i="4"/>
  <c r="F213" i="4"/>
  <c r="G213" i="4"/>
  <c r="H213" i="4"/>
  <c r="I213" i="4"/>
  <c r="J213" i="4"/>
  <c r="K213" i="4"/>
  <c r="L213" i="4"/>
  <c r="F214" i="4"/>
  <c r="G214" i="4"/>
  <c r="H214" i="4"/>
  <c r="I214" i="4"/>
  <c r="J214" i="4"/>
  <c r="K214" i="4"/>
  <c r="L214" i="4"/>
  <c r="F215" i="4"/>
  <c r="G215" i="4"/>
  <c r="H215" i="4"/>
  <c r="I215" i="4"/>
  <c r="J215" i="4"/>
  <c r="K215" i="4"/>
  <c r="L215" i="4"/>
  <c r="F216" i="4"/>
  <c r="G216" i="4"/>
  <c r="H216" i="4"/>
  <c r="I216" i="4"/>
  <c r="J216" i="4"/>
  <c r="K216" i="4"/>
  <c r="L216" i="4"/>
  <c r="F217" i="4"/>
  <c r="G217" i="4"/>
  <c r="H217" i="4"/>
  <c r="I217" i="4"/>
  <c r="J217" i="4"/>
  <c r="K217" i="4"/>
  <c r="L217" i="4"/>
  <c r="F218" i="4"/>
  <c r="G218" i="4"/>
  <c r="H218" i="4"/>
  <c r="I218" i="4"/>
  <c r="J218" i="4"/>
  <c r="K218" i="4"/>
  <c r="L218" i="4"/>
  <c r="F219" i="4"/>
  <c r="G219" i="4"/>
  <c r="H219" i="4"/>
  <c r="I219" i="4"/>
  <c r="J219" i="4"/>
  <c r="K219" i="4"/>
  <c r="L219" i="4"/>
  <c r="F220" i="4"/>
  <c r="G220" i="4"/>
  <c r="H220" i="4"/>
  <c r="I220" i="4"/>
  <c r="J220" i="4"/>
  <c r="K220" i="4"/>
  <c r="L220" i="4"/>
  <c r="F221" i="4"/>
  <c r="G221" i="4"/>
  <c r="H221" i="4"/>
  <c r="I221" i="4"/>
  <c r="J221" i="4"/>
  <c r="K221" i="4"/>
  <c r="L221" i="4"/>
  <c r="F222" i="4"/>
  <c r="G222" i="4"/>
  <c r="H222" i="4"/>
  <c r="I222" i="4"/>
  <c r="J222" i="4"/>
  <c r="K222" i="4"/>
  <c r="L222" i="4"/>
  <c r="F223" i="4"/>
  <c r="G223" i="4"/>
  <c r="H223" i="4"/>
  <c r="I223" i="4"/>
  <c r="J223" i="4"/>
  <c r="K223" i="4"/>
  <c r="L223" i="4"/>
  <c r="F224" i="4"/>
  <c r="G224" i="4"/>
  <c r="H224" i="4"/>
  <c r="I224" i="4"/>
  <c r="J224" i="4"/>
  <c r="K224" i="4"/>
  <c r="L224" i="4"/>
  <c r="F225" i="4"/>
  <c r="G225" i="4"/>
  <c r="H225" i="4"/>
  <c r="I225" i="4"/>
  <c r="J225" i="4"/>
  <c r="K225" i="4"/>
  <c r="L225" i="4"/>
  <c r="F226" i="4"/>
  <c r="G226" i="4"/>
  <c r="H226" i="4"/>
  <c r="I226" i="4"/>
  <c r="J226" i="4"/>
  <c r="K226" i="4"/>
  <c r="L226" i="4"/>
  <c r="F227" i="4"/>
  <c r="G227" i="4"/>
  <c r="H227" i="4"/>
  <c r="I227" i="4"/>
  <c r="J227" i="4"/>
  <c r="K227" i="4"/>
  <c r="L227" i="4"/>
  <c r="F228" i="4"/>
  <c r="G228" i="4"/>
  <c r="H228" i="4"/>
  <c r="I228" i="4"/>
  <c r="J228" i="4"/>
  <c r="K228" i="4"/>
  <c r="L228" i="4"/>
  <c r="F229" i="4"/>
  <c r="G229" i="4"/>
  <c r="H229" i="4"/>
  <c r="I229" i="4"/>
  <c r="J229" i="4"/>
  <c r="K229" i="4"/>
  <c r="L229" i="4"/>
  <c r="F230" i="4"/>
  <c r="G230" i="4"/>
  <c r="H230" i="4"/>
  <c r="I230" i="4"/>
  <c r="J230" i="4"/>
  <c r="K230" i="4"/>
  <c r="L230" i="4"/>
  <c r="F231" i="4"/>
  <c r="G231" i="4"/>
  <c r="H231" i="4"/>
  <c r="I231" i="4"/>
  <c r="J231" i="4"/>
  <c r="K231" i="4"/>
  <c r="L231" i="4"/>
  <c r="F232" i="4"/>
  <c r="G232" i="4"/>
  <c r="H232" i="4"/>
  <c r="I232" i="4"/>
  <c r="J232" i="4"/>
  <c r="K232" i="4"/>
  <c r="L232" i="4"/>
  <c r="F233" i="4"/>
  <c r="G233" i="4"/>
  <c r="H233" i="4"/>
  <c r="I233" i="4"/>
  <c r="J233" i="4"/>
  <c r="K233" i="4"/>
  <c r="L233" i="4"/>
  <c r="F234" i="4"/>
  <c r="G234" i="4"/>
  <c r="H234" i="4"/>
  <c r="I234" i="4"/>
  <c r="J234" i="4"/>
  <c r="K234" i="4"/>
  <c r="L234" i="4"/>
  <c r="F235" i="4"/>
  <c r="G235" i="4"/>
  <c r="H235" i="4"/>
  <c r="I235" i="4"/>
  <c r="J235" i="4"/>
  <c r="K235" i="4"/>
  <c r="L235" i="4"/>
  <c r="F236" i="4"/>
  <c r="G236" i="4"/>
  <c r="H236" i="4"/>
  <c r="I236" i="4"/>
  <c r="J236" i="4"/>
  <c r="K236" i="4"/>
  <c r="L236" i="4"/>
  <c r="F237" i="4"/>
  <c r="G237" i="4"/>
  <c r="H237" i="4"/>
  <c r="I237" i="4"/>
  <c r="J237" i="4"/>
  <c r="K237" i="4"/>
  <c r="L237" i="4"/>
  <c r="F238" i="4"/>
  <c r="G238" i="4"/>
  <c r="H238" i="4"/>
  <c r="I238" i="4"/>
  <c r="J238" i="4"/>
  <c r="K238" i="4"/>
  <c r="L238" i="4"/>
  <c r="F239" i="4"/>
  <c r="G239" i="4"/>
  <c r="H239" i="4"/>
  <c r="I239" i="4"/>
  <c r="J239" i="4"/>
  <c r="K239" i="4"/>
  <c r="L239" i="4"/>
  <c r="F240" i="4"/>
  <c r="G240" i="4"/>
  <c r="H240" i="4"/>
  <c r="I240" i="4"/>
  <c r="J240" i="4"/>
  <c r="K240" i="4"/>
  <c r="L240" i="4"/>
  <c r="F241" i="4"/>
  <c r="G241" i="4"/>
  <c r="H241" i="4"/>
  <c r="I241" i="4"/>
  <c r="J241" i="4"/>
  <c r="K241" i="4"/>
  <c r="L241" i="4"/>
  <c r="F242" i="4"/>
  <c r="G242" i="4"/>
  <c r="H242" i="4"/>
  <c r="I242" i="4"/>
  <c r="J242" i="4"/>
  <c r="K242" i="4"/>
  <c r="L242" i="4"/>
  <c r="F243" i="4"/>
  <c r="G243" i="4"/>
  <c r="H243" i="4"/>
  <c r="I243" i="4"/>
  <c r="J243" i="4"/>
  <c r="K243" i="4"/>
  <c r="L243" i="4"/>
  <c r="F244" i="4"/>
  <c r="G244" i="4"/>
  <c r="H244" i="4"/>
  <c r="I244" i="4"/>
  <c r="J244" i="4"/>
  <c r="K244" i="4"/>
  <c r="L244" i="4"/>
  <c r="F245" i="4"/>
  <c r="G245" i="4"/>
  <c r="H245" i="4"/>
  <c r="I245" i="4"/>
  <c r="J245" i="4"/>
  <c r="K245" i="4"/>
  <c r="L245" i="4"/>
  <c r="F246" i="4"/>
  <c r="G246" i="4"/>
  <c r="H246" i="4"/>
  <c r="I246" i="4"/>
  <c r="J246" i="4"/>
  <c r="K246" i="4"/>
  <c r="L246" i="4"/>
  <c r="F247" i="4"/>
  <c r="G247" i="4"/>
  <c r="H247" i="4"/>
  <c r="I247" i="4"/>
  <c r="J247" i="4"/>
  <c r="K247" i="4"/>
  <c r="L247" i="4"/>
  <c r="F248" i="4"/>
  <c r="G248" i="4"/>
  <c r="H248" i="4"/>
  <c r="I248" i="4"/>
  <c r="J248" i="4"/>
  <c r="K248" i="4"/>
  <c r="L248" i="4"/>
  <c r="F249" i="4"/>
  <c r="G249" i="4"/>
  <c r="H249" i="4"/>
  <c r="I249" i="4"/>
  <c r="J249" i="4"/>
  <c r="K249" i="4"/>
  <c r="L249" i="4"/>
  <c r="F250" i="4"/>
  <c r="G250" i="4"/>
  <c r="H250" i="4"/>
  <c r="I250" i="4"/>
  <c r="J250" i="4"/>
  <c r="K250" i="4"/>
  <c r="L250" i="4"/>
  <c r="F251" i="4"/>
  <c r="G251" i="4"/>
  <c r="H251" i="4"/>
  <c r="I251" i="4"/>
  <c r="J251" i="4"/>
  <c r="K251" i="4"/>
  <c r="L251" i="4"/>
  <c r="F252" i="4"/>
  <c r="G252" i="4"/>
  <c r="H252" i="4"/>
  <c r="I252" i="4"/>
  <c r="J252" i="4"/>
  <c r="K252" i="4"/>
  <c r="L252" i="4"/>
  <c r="F253" i="4"/>
  <c r="G253" i="4"/>
  <c r="H253" i="4"/>
  <c r="I253" i="4"/>
  <c r="J253" i="4"/>
  <c r="K253" i="4"/>
  <c r="L253" i="4"/>
  <c r="F254" i="4"/>
  <c r="G254" i="4"/>
  <c r="H254" i="4"/>
  <c r="I254" i="4"/>
  <c r="J254" i="4"/>
  <c r="K254" i="4"/>
  <c r="L254" i="4"/>
  <c r="F255" i="4"/>
  <c r="G255" i="4"/>
  <c r="H255" i="4"/>
  <c r="I255" i="4"/>
  <c r="J255" i="4"/>
  <c r="K255" i="4"/>
  <c r="L255" i="4"/>
  <c r="F256" i="4"/>
  <c r="G256" i="4"/>
  <c r="H256" i="4"/>
  <c r="I256" i="4"/>
  <c r="J256" i="4"/>
  <c r="K256" i="4"/>
  <c r="L256" i="4"/>
  <c r="F257" i="4"/>
  <c r="G257" i="4"/>
  <c r="H257" i="4"/>
  <c r="I257" i="4"/>
  <c r="J257" i="4"/>
  <c r="K257" i="4"/>
  <c r="L257" i="4"/>
  <c r="F258" i="4"/>
  <c r="G258" i="4"/>
  <c r="H258" i="4"/>
  <c r="I258" i="4"/>
  <c r="J258" i="4"/>
  <c r="K258" i="4"/>
  <c r="L258" i="4"/>
  <c r="F259" i="4"/>
  <c r="G259" i="4"/>
  <c r="H259" i="4"/>
  <c r="I259" i="4"/>
  <c r="J259" i="4"/>
  <c r="K259" i="4"/>
  <c r="L259" i="4"/>
  <c r="F260" i="4"/>
  <c r="G260" i="4"/>
  <c r="H260" i="4"/>
  <c r="I260" i="4"/>
  <c r="J260" i="4"/>
  <c r="K260" i="4"/>
  <c r="L260" i="4"/>
  <c r="F261" i="4"/>
  <c r="G261" i="4"/>
  <c r="H261" i="4"/>
  <c r="I261" i="4"/>
  <c r="J261" i="4"/>
  <c r="K261" i="4"/>
  <c r="L261" i="4"/>
  <c r="F262" i="4"/>
  <c r="G262" i="4"/>
  <c r="H262" i="4"/>
  <c r="I262" i="4"/>
  <c r="J262" i="4"/>
  <c r="K262" i="4"/>
  <c r="L262" i="4"/>
  <c r="F263" i="4"/>
  <c r="G263" i="4"/>
  <c r="H263" i="4"/>
  <c r="I263" i="4"/>
  <c r="J263" i="4"/>
  <c r="K263" i="4"/>
  <c r="L263" i="4"/>
  <c r="F264" i="4"/>
  <c r="G264" i="4"/>
  <c r="H264" i="4"/>
  <c r="I264" i="4"/>
  <c r="J264" i="4"/>
  <c r="K264" i="4"/>
  <c r="L264" i="4"/>
  <c r="F265" i="4"/>
  <c r="G265" i="4"/>
  <c r="H265" i="4"/>
  <c r="I265" i="4"/>
  <c r="J265" i="4"/>
  <c r="K265" i="4"/>
  <c r="L265" i="4"/>
  <c r="F266" i="4"/>
  <c r="G266" i="4"/>
  <c r="H266" i="4"/>
  <c r="I266" i="4"/>
  <c r="J266" i="4"/>
  <c r="K266" i="4"/>
  <c r="L266" i="4"/>
  <c r="F267" i="4"/>
  <c r="G267" i="4"/>
  <c r="H267" i="4"/>
  <c r="I267" i="4"/>
  <c r="J267" i="4"/>
  <c r="K267" i="4"/>
  <c r="L267" i="4"/>
  <c r="F268" i="4"/>
  <c r="G268" i="4"/>
  <c r="H268" i="4"/>
  <c r="I268" i="4"/>
  <c r="J268" i="4"/>
  <c r="K268" i="4"/>
  <c r="L268" i="4"/>
  <c r="F269" i="4"/>
  <c r="G269" i="4"/>
  <c r="H269" i="4"/>
  <c r="I269" i="4"/>
  <c r="J269" i="4"/>
  <c r="K269" i="4"/>
  <c r="L269" i="4"/>
  <c r="F270" i="4"/>
  <c r="G270" i="4"/>
  <c r="H270" i="4"/>
  <c r="I270" i="4"/>
  <c r="J270" i="4"/>
  <c r="K270" i="4"/>
  <c r="L270" i="4"/>
  <c r="F271" i="4"/>
  <c r="G271" i="4"/>
  <c r="H271" i="4"/>
  <c r="I271" i="4"/>
  <c r="J271" i="4"/>
  <c r="K271" i="4"/>
  <c r="L271" i="4"/>
  <c r="F272" i="4"/>
  <c r="G272" i="4"/>
  <c r="H272" i="4"/>
  <c r="I272" i="4"/>
  <c r="J272" i="4"/>
  <c r="K272" i="4"/>
  <c r="L272" i="4"/>
  <c r="F273" i="4"/>
  <c r="G273" i="4"/>
  <c r="H273" i="4"/>
  <c r="I273" i="4"/>
  <c r="J273" i="4"/>
  <c r="K273" i="4"/>
  <c r="L273" i="4"/>
  <c r="F274" i="4"/>
  <c r="G274" i="4"/>
  <c r="H274" i="4"/>
  <c r="I274" i="4"/>
  <c r="J274" i="4"/>
  <c r="K274" i="4"/>
  <c r="L274" i="4"/>
  <c r="F275" i="4"/>
  <c r="G275" i="4"/>
  <c r="H275" i="4"/>
  <c r="I275" i="4"/>
  <c r="J275" i="4"/>
  <c r="K275" i="4"/>
  <c r="L275" i="4"/>
  <c r="F276" i="4"/>
  <c r="G276" i="4"/>
  <c r="H276" i="4"/>
  <c r="I276" i="4"/>
  <c r="J276" i="4"/>
  <c r="K276" i="4"/>
  <c r="L276" i="4"/>
  <c r="F277" i="4"/>
  <c r="G277" i="4"/>
  <c r="H277" i="4"/>
  <c r="I277" i="4"/>
  <c r="J277" i="4"/>
  <c r="K277" i="4"/>
  <c r="L277" i="4"/>
  <c r="F278" i="4"/>
  <c r="G278" i="4"/>
  <c r="H278" i="4"/>
  <c r="I278" i="4"/>
  <c r="J278" i="4"/>
  <c r="K278" i="4"/>
  <c r="L278" i="4"/>
  <c r="F279" i="4"/>
  <c r="G279" i="4"/>
  <c r="H279" i="4"/>
  <c r="I279" i="4"/>
  <c r="J279" i="4"/>
  <c r="K279" i="4"/>
  <c r="L279" i="4"/>
  <c r="F280" i="4"/>
  <c r="G280" i="4"/>
  <c r="H280" i="4"/>
  <c r="I280" i="4"/>
  <c r="J280" i="4"/>
  <c r="K280" i="4"/>
  <c r="L280" i="4"/>
  <c r="F281" i="4"/>
  <c r="G281" i="4"/>
  <c r="H281" i="4"/>
  <c r="I281" i="4"/>
  <c r="J281" i="4"/>
  <c r="K281" i="4"/>
  <c r="L281" i="4"/>
  <c r="F282" i="4"/>
  <c r="G282" i="4"/>
  <c r="H282" i="4"/>
  <c r="I282" i="4"/>
  <c r="J282" i="4"/>
  <c r="K282" i="4"/>
  <c r="L282" i="4"/>
  <c r="F283" i="4"/>
  <c r="G283" i="4"/>
  <c r="H283" i="4"/>
  <c r="I283" i="4"/>
  <c r="J283" i="4"/>
  <c r="K283" i="4"/>
  <c r="L283" i="4"/>
  <c r="F284" i="4"/>
  <c r="G284" i="4"/>
  <c r="H284" i="4"/>
  <c r="I284" i="4"/>
  <c r="J284" i="4"/>
  <c r="K284" i="4"/>
  <c r="L284" i="4"/>
  <c r="F285" i="4"/>
  <c r="G285" i="4"/>
  <c r="H285" i="4"/>
  <c r="I285" i="4"/>
  <c r="J285" i="4"/>
  <c r="K285" i="4"/>
  <c r="L285" i="4"/>
  <c r="F286" i="4"/>
  <c r="G286" i="4"/>
  <c r="H286" i="4"/>
  <c r="I286" i="4"/>
  <c r="J286" i="4"/>
  <c r="K286" i="4"/>
  <c r="L286" i="4"/>
  <c r="F287" i="4"/>
  <c r="G287" i="4"/>
  <c r="H287" i="4"/>
  <c r="I287" i="4"/>
  <c r="J287" i="4"/>
  <c r="K287" i="4"/>
  <c r="L287" i="4"/>
  <c r="F288" i="4"/>
  <c r="G288" i="4"/>
  <c r="H288" i="4"/>
  <c r="I288" i="4"/>
  <c r="J288" i="4"/>
  <c r="K288" i="4"/>
  <c r="L288" i="4"/>
  <c r="F289" i="4"/>
  <c r="G289" i="4"/>
  <c r="H289" i="4"/>
  <c r="I289" i="4"/>
  <c r="J289" i="4"/>
  <c r="K289" i="4"/>
  <c r="L289" i="4"/>
  <c r="F290" i="4"/>
  <c r="G290" i="4"/>
  <c r="H290" i="4"/>
  <c r="I290" i="4"/>
  <c r="J290" i="4"/>
  <c r="K290" i="4"/>
  <c r="L290" i="4"/>
  <c r="F291" i="4"/>
  <c r="G291" i="4"/>
  <c r="H291" i="4"/>
  <c r="I291" i="4"/>
  <c r="J291" i="4"/>
  <c r="K291" i="4"/>
  <c r="L291" i="4"/>
  <c r="F292" i="4"/>
  <c r="G292" i="4"/>
  <c r="H292" i="4"/>
  <c r="I292" i="4"/>
  <c r="J292" i="4"/>
  <c r="K292" i="4"/>
  <c r="L292" i="4"/>
  <c r="F293" i="4"/>
  <c r="G293" i="4"/>
  <c r="H293" i="4"/>
  <c r="I293" i="4"/>
  <c r="J293" i="4"/>
  <c r="K293" i="4"/>
  <c r="L293" i="4"/>
  <c r="F294" i="4"/>
  <c r="G294" i="4"/>
  <c r="H294" i="4"/>
  <c r="I294" i="4"/>
  <c r="J294" i="4"/>
  <c r="K294" i="4"/>
  <c r="L294" i="4"/>
  <c r="F295" i="4"/>
  <c r="G295" i="4"/>
  <c r="H295" i="4"/>
  <c r="I295" i="4"/>
  <c r="J295" i="4"/>
  <c r="K295" i="4"/>
  <c r="L295" i="4"/>
  <c r="F296" i="4"/>
  <c r="G296" i="4"/>
  <c r="H296" i="4"/>
  <c r="I296" i="4"/>
  <c r="J296" i="4"/>
  <c r="K296" i="4"/>
  <c r="L296" i="4"/>
  <c r="F297" i="4"/>
  <c r="G297" i="4"/>
  <c r="H297" i="4"/>
  <c r="I297" i="4"/>
  <c r="J297" i="4"/>
  <c r="K297" i="4"/>
  <c r="L297" i="4"/>
  <c r="F298" i="4"/>
  <c r="G298" i="4"/>
  <c r="H298" i="4"/>
  <c r="I298" i="4"/>
  <c r="J298" i="4"/>
  <c r="K298" i="4"/>
  <c r="L298" i="4"/>
  <c r="F299" i="4"/>
  <c r="G299" i="4"/>
  <c r="H299" i="4"/>
  <c r="I299" i="4"/>
  <c r="J299" i="4"/>
  <c r="K299" i="4"/>
  <c r="L299" i="4"/>
  <c r="F300" i="4"/>
  <c r="G300" i="4"/>
  <c r="H300" i="4"/>
  <c r="I300" i="4"/>
  <c r="J300" i="4"/>
  <c r="K300" i="4"/>
  <c r="L300" i="4"/>
  <c r="F301" i="4"/>
  <c r="G301" i="4"/>
  <c r="H301" i="4"/>
  <c r="I301" i="4"/>
  <c r="J301" i="4"/>
  <c r="K301" i="4"/>
  <c r="L301" i="4"/>
  <c r="F302" i="4"/>
  <c r="G302" i="4"/>
  <c r="H302" i="4"/>
  <c r="I302" i="4"/>
  <c r="J302" i="4"/>
  <c r="K302" i="4"/>
  <c r="L302" i="4"/>
  <c r="F303" i="4"/>
  <c r="G303" i="4"/>
  <c r="H303" i="4"/>
  <c r="I303" i="4"/>
  <c r="J303" i="4"/>
  <c r="K303" i="4"/>
  <c r="L303" i="4"/>
  <c r="F304" i="4"/>
  <c r="G304" i="4"/>
  <c r="H304" i="4"/>
  <c r="I304" i="4"/>
  <c r="J304" i="4"/>
  <c r="K304" i="4"/>
  <c r="L304" i="4"/>
  <c r="F305" i="4"/>
  <c r="G305" i="4"/>
  <c r="H305" i="4"/>
  <c r="I305" i="4"/>
  <c r="J305" i="4"/>
  <c r="K305" i="4"/>
  <c r="L305" i="4"/>
  <c r="F306" i="4"/>
  <c r="G306" i="4"/>
  <c r="H306" i="4"/>
  <c r="I306" i="4"/>
  <c r="J306" i="4"/>
  <c r="K306" i="4"/>
  <c r="L306" i="4"/>
  <c r="F307" i="4"/>
  <c r="G307" i="4"/>
  <c r="H307" i="4"/>
  <c r="I307" i="4"/>
  <c r="J307" i="4"/>
  <c r="K307" i="4"/>
  <c r="L307" i="4"/>
  <c r="F308" i="4"/>
  <c r="G308" i="4"/>
  <c r="H308" i="4"/>
  <c r="I308" i="4"/>
  <c r="J308" i="4"/>
  <c r="K308" i="4"/>
  <c r="L308" i="4"/>
  <c r="F309" i="4"/>
  <c r="G309" i="4"/>
  <c r="H309" i="4"/>
  <c r="I309" i="4"/>
  <c r="J309" i="4"/>
  <c r="K309" i="4"/>
  <c r="L309" i="4"/>
  <c r="F310" i="4"/>
  <c r="G310" i="4"/>
  <c r="H310" i="4"/>
  <c r="I310" i="4"/>
  <c r="J310" i="4"/>
  <c r="K310" i="4"/>
  <c r="L310" i="4"/>
  <c r="F311" i="4"/>
  <c r="G311" i="4"/>
  <c r="H311" i="4"/>
  <c r="I311" i="4"/>
  <c r="J311" i="4"/>
  <c r="K311" i="4"/>
  <c r="L311" i="4"/>
  <c r="F312" i="4"/>
  <c r="G312" i="4"/>
  <c r="H312" i="4"/>
  <c r="I312" i="4"/>
  <c r="J312" i="4"/>
  <c r="K312" i="4"/>
  <c r="L312" i="4"/>
  <c r="F313" i="4"/>
  <c r="G313" i="4"/>
  <c r="H313" i="4"/>
  <c r="I313" i="4"/>
  <c r="J313" i="4"/>
  <c r="K313" i="4"/>
  <c r="L313" i="4"/>
  <c r="F314" i="4"/>
  <c r="G314" i="4"/>
  <c r="H314" i="4"/>
  <c r="I314" i="4"/>
  <c r="J314" i="4"/>
  <c r="K314" i="4"/>
  <c r="L314" i="4"/>
  <c r="F315" i="4"/>
  <c r="G315" i="4"/>
  <c r="H315" i="4"/>
  <c r="I315" i="4"/>
  <c r="J315" i="4"/>
  <c r="K315" i="4"/>
  <c r="L315" i="4"/>
  <c r="F316" i="4"/>
  <c r="G316" i="4"/>
  <c r="H316" i="4"/>
  <c r="I316" i="4"/>
  <c r="J316" i="4"/>
  <c r="K316" i="4"/>
  <c r="L316" i="4"/>
  <c r="F317" i="4"/>
  <c r="G317" i="4"/>
  <c r="H317" i="4"/>
  <c r="I317" i="4"/>
  <c r="J317" i="4"/>
  <c r="K317" i="4"/>
  <c r="L317" i="4"/>
  <c r="F318" i="4"/>
  <c r="G318" i="4"/>
  <c r="H318" i="4"/>
  <c r="I318" i="4"/>
  <c r="J318" i="4"/>
  <c r="K318" i="4"/>
  <c r="L318" i="4"/>
  <c r="F319" i="4"/>
  <c r="G319" i="4"/>
  <c r="H319" i="4"/>
  <c r="I319" i="4"/>
  <c r="J319" i="4"/>
  <c r="K319" i="4"/>
  <c r="L319" i="4"/>
  <c r="F320" i="4"/>
  <c r="G320" i="4"/>
  <c r="H320" i="4"/>
  <c r="I320" i="4"/>
  <c r="J320" i="4"/>
  <c r="K320" i="4"/>
  <c r="L320" i="4"/>
  <c r="F321" i="4"/>
  <c r="G321" i="4"/>
  <c r="H321" i="4"/>
  <c r="I321" i="4"/>
  <c r="J321" i="4"/>
  <c r="K321" i="4"/>
  <c r="L321" i="4"/>
  <c r="F322" i="4"/>
  <c r="G322" i="4"/>
  <c r="H322" i="4"/>
  <c r="I322" i="4"/>
  <c r="J322" i="4"/>
  <c r="K322" i="4"/>
  <c r="L322" i="4"/>
  <c r="F323" i="4"/>
  <c r="G323" i="4"/>
  <c r="H323" i="4"/>
  <c r="I323" i="4"/>
  <c r="J323" i="4"/>
  <c r="K323" i="4"/>
  <c r="L323" i="4"/>
  <c r="F324" i="4"/>
  <c r="G324" i="4"/>
  <c r="H324" i="4"/>
  <c r="I324" i="4"/>
  <c r="J324" i="4"/>
  <c r="K324" i="4"/>
  <c r="L324" i="4"/>
  <c r="F325" i="4"/>
  <c r="G325" i="4"/>
  <c r="H325" i="4"/>
  <c r="I325" i="4"/>
  <c r="J325" i="4"/>
  <c r="K325" i="4"/>
  <c r="L325" i="4"/>
  <c r="F326" i="4"/>
  <c r="G326" i="4"/>
  <c r="H326" i="4"/>
  <c r="I326" i="4"/>
  <c r="J326" i="4"/>
  <c r="K326" i="4"/>
  <c r="L326" i="4"/>
  <c r="F327" i="4"/>
  <c r="G327" i="4"/>
  <c r="H327" i="4"/>
  <c r="I327" i="4"/>
  <c r="J327" i="4"/>
  <c r="K327" i="4"/>
  <c r="L327" i="4"/>
  <c r="F328" i="4"/>
  <c r="G328" i="4"/>
  <c r="H328" i="4"/>
  <c r="I328" i="4"/>
  <c r="J328" i="4"/>
  <c r="K328" i="4"/>
  <c r="L328" i="4"/>
  <c r="F329" i="4"/>
  <c r="G329" i="4"/>
  <c r="H329" i="4"/>
  <c r="I329" i="4"/>
  <c r="J329" i="4"/>
  <c r="K329" i="4"/>
  <c r="L329" i="4"/>
  <c r="F330" i="4"/>
  <c r="G330" i="4"/>
  <c r="H330" i="4"/>
  <c r="I330" i="4"/>
  <c r="J330" i="4"/>
  <c r="K330" i="4"/>
  <c r="L330" i="4"/>
  <c r="F331" i="4"/>
  <c r="G331" i="4"/>
  <c r="H331" i="4"/>
  <c r="I331" i="4"/>
  <c r="J331" i="4"/>
  <c r="K331" i="4"/>
  <c r="L331" i="4"/>
  <c r="F332" i="4"/>
  <c r="G332" i="4"/>
  <c r="H332" i="4"/>
  <c r="I332" i="4"/>
  <c r="J332" i="4"/>
  <c r="K332" i="4"/>
  <c r="L332" i="4"/>
  <c r="F333" i="4"/>
  <c r="G333" i="4"/>
  <c r="H333" i="4"/>
  <c r="I333" i="4"/>
  <c r="J333" i="4"/>
  <c r="K333" i="4"/>
  <c r="L333" i="4"/>
  <c r="F334" i="4"/>
  <c r="G334" i="4"/>
  <c r="H334" i="4"/>
  <c r="I334" i="4"/>
  <c r="J334" i="4"/>
  <c r="K334" i="4"/>
  <c r="L334" i="4"/>
  <c r="F335" i="4"/>
  <c r="G335" i="4"/>
  <c r="H335" i="4"/>
  <c r="I335" i="4"/>
  <c r="J335" i="4"/>
  <c r="K335" i="4"/>
  <c r="L335" i="4"/>
  <c r="F336" i="4"/>
  <c r="G336" i="4"/>
  <c r="H336" i="4"/>
  <c r="I336" i="4"/>
  <c r="J336" i="4"/>
  <c r="K336" i="4"/>
  <c r="L336" i="4"/>
  <c r="F337" i="4"/>
  <c r="G337" i="4"/>
  <c r="H337" i="4"/>
  <c r="I337" i="4"/>
  <c r="J337" i="4"/>
  <c r="K337" i="4"/>
  <c r="L337" i="4"/>
  <c r="F338" i="4"/>
  <c r="G338" i="4"/>
  <c r="H338" i="4"/>
  <c r="I338" i="4"/>
  <c r="J338" i="4"/>
  <c r="K338" i="4"/>
  <c r="L338" i="4"/>
  <c r="F339" i="4"/>
  <c r="G339" i="4"/>
  <c r="H339" i="4"/>
  <c r="I339" i="4"/>
  <c r="J339" i="4"/>
  <c r="K339" i="4"/>
  <c r="L339" i="4"/>
  <c r="F340" i="4"/>
  <c r="G340" i="4"/>
  <c r="H340" i="4"/>
  <c r="I340" i="4"/>
  <c r="J340" i="4"/>
  <c r="K340" i="4"/>
  <c r="L340" i="4"/>
  <c r="F341" i="4"/>
  <c r="G341" i="4"/>
  <c r="H341" i="4"/>
  <c r="I341" i="4"/>
  <c r="J341" i="4"/>
  <c r="K341" i="4"/>
  <c r="L341" i="4"/>
  <c r="F342" i="4"/>
  <c r="G342" i="4"/>
  <c r="H342" i="4"/>
  <c r="I342" i="4"/>
  <c r="J342" i="4"/>
  <c r="K342" i="4"/>
  <c r="L342" i="4"/>
  <c r="F343" i="4"/>
  <c r="G343" i="4"/>
  <c r="H343" i="4"/>
  <c r="I343" i="4"/>
  <c r="J343" i="4"/>
  <c r="K343" i="4"/>
  <c r="L343" i="4"/>
  <c r="F344" i="4"/>
  <c r="G344" i="4"/>
  <c r="H344" i="4"/>
  <c r="I344" i="4"/>
  <c r="J344" i="4"/>
  <c r="K344" i="4"/>
  <c r="L344" i="4"/>
  <c r="F345" i="4"/>
  <c r="G345" i="4"/>
  <c r="H345" i="4"/>
  <c r="I345" i="4"/>
  <c r="J345" i="4"/>
  <c r="K345" i="4"/>
  <c r="L345" i="4"/>
  <c r="F346" i="4"/>
  <c r="G346" i="4"/>
  <c r="H346" i="4"/>
  <c r="I346" i="4"/>
  <c r="J346" i="4"/>
  <c r="K346" i="4"/>
  <c r="L346" i="4"/>
  <c r="F347" i="4"/>
  <c r="G347" i="4"/>
  <c r="H347" i="4"/>
  <c r="I347" i="4"/>
  <c r="J347" i="4"/>
  <c r="K347" i="4"/>
  <c r="L347" i="4"/>
  <c r="F348" i="4"/>
  <c r="G348" i="4"/>
  <c r="H348" i="4"/>
  <c r="I348" i="4"/>
  <c r="J348" i="4"/>
  <c r="K348" i="4"/>
  <c r="L348" i="4"/>
  <c r="F349" i="4"/>
  <c r="G349" i="4"/>
  <c r="H349" i="4"/>
  <c r="I349" i="4"/>
  <c r="J349" i="4"/>
  <c r="K349" i="4"/>
  <c r="L349" i="4"/>
  <c r="F350" i="4"/>
  <c r="G350" i="4"/>
  <c r="H350" i="4"/>
  <c r="I350" i="4"/>
  <c r="J350" i="4"/>
  <c r="K350" i="4"/>
  <c r="L350" i="4"/>
  <c r="F351" i="4"/>
  <c r="G351" i="4"/>
  <c r="H351" i="4"/>
  <c r="I351" i="4"/>
  <c r="J351" i="4"/>
  <c r="K351" i="4"/>
  <c r="L351" i="4"/>
  <c r="F352" i="4"/>
  <c r="G352" i="4"/>
  <c r="H352" i="4"/>
  <c r="I352" i="4"/>
  <c r="J352" i="4"/>
  <c r="K352" i="4"/>
  <c r="L352" i="4"/>
  <c r="F353" i="4"/>
  <c r="G353" i="4"/>
  <c r="H353" i="4"/>
  <c r="I353" i="4"/>
  <c r="J353" i="4"/>
  <c r="K353" i="4"/>
  <c r="L353" i="4"/>
  <c r="F354" i="4"/>
  <c r="G354" i="4"/>
  <c r="H354" i="4"/>
  <c r="I354" i="4"/>
  <c r="J354" i="4"/>
  <c r="K354" i="4"/>
  <c r="L354" i="4"/>
  <c r="F355" i="4"/>
  <c r="G355" i="4"/>
  <c r="H355" i="4"/>
  <c r="I355" i="4"/>
  <c r="J355" i="4"/>
  <c r="K355" i="4"/>
  <c r="L355" i="4"/>
  <c r="F356" i="4"/>
  <c r="G356" i="4"/>
  <c r="H356" i="4"/>
  <c r="I356" i="4"/>
  <c r="J356" i="4"/>
  <c r="K356" i="4"/>
  <c r="L356" i="4"/>
  <c r="F357" i="4"/>
  <c r="G357" i="4"/>
  <c r="H357" i="4"/>
  <c r="I357" i="4"/>
  <c r="J357" i="4"/>
  <c r="K357" i="4"/>
  <c r="L357" i="4"/>
  <c r="F358" i="4"/>
  <c r="G358" i="4"/>
  <c r="H358" i="4"/>
  <c r="I358" i="4"/>
  <c r="J358" i="4"/>
  <c r="K358" i="4"/>
  <c r="L358" i="4"/>
  <c r="F359" i="4"/>
  <c r="G359" i="4"/>
  <c r="H359" i="4"/>
  <c r="I359" i="4"/>
  <c r="J359" i="4"/>
  <c r="K359" i="4"/>
  <c r="L359" i="4"/>
  <c r="F360" i="4"/>
  <c r="G360" i="4"/>
  <c r="H360" i="4"/>
  <c r="I360" i="4"/>
  <c r="J360" i="4"/>
  <c r="K360" i="4"/>
  <c r="L360" i="4"/>
  <c r="F361" i="4"/>
  <c r="G361" i="4"/>
  <c r="H361" i="4"/>
  <c r="I361" i="4"/>
  <c r="J361" i="4"/>
  <c r="K361" i="4"/>
  <c r="L361" i="4"/>
  <c r="F362" i="4"/>
  <c r="G362" i="4"/>
  <c r="H362" i="4"/>
  <c r="I362" i="4"/>
  <c r="J362" i="4"/>
  <c r="K362" i="4"/>
  <c r="L362" i="4"/>
  <c r="F363" i="4"/>
  <c r="G363" i="4"/>
  <c r="H363" i="4"/>
  <c r="I363" i="4"/>
  <c r="J363" i="4"/>
  <c r="K363" i="4"/>
  <c r="L363" i="4"/>
  <c r="F364" i="4"/>
  <c r="G364" i="4"/>
  <c r="H364" i="4"/>
  <c r="I364" i="4"/>
  <c r="J364" i="4"/>
  <c r="K364" i="4"/>
  <c r="L364" i="4"/>
  <c r="F365" i="4"/>
  <c r="G365" i="4"/>
  <c r="H365" i="4"/>
  <c r="I365" i="4"/>
  <c r="J365" i="4"/>
  <c r="K365" i="4"/>
  <c r="L365" i="4"/>
  <c r="F366" i="4"/>
  <c r="G366" i="4"/>
  <c r="H366" i="4"/>
  <c r="I366" i="4"/>
  <c r="J366" i="4"/>
  <c r="K366" i="4"/>
  <c r="L366" i="4"/>
  <c r="F367" i="4"/>
  <c r="G367" i="4"/>
  <c r="H367" i="4"/>
  <c r="I367" i="4"/>
  <c r="J367" i="4"/>
  <c r="K367" i="4"/>
  <c r="L367" i="4"/>
  <c r="F368" i="4"/>
  <c r="G368" i="4"/>
  <c r="H368" i="4"/>
  <c r="I368" i="4"/>
  <c r="J368" i="4"/>
  <c r="K368" i="4"/>
  <c r="L368" i="4"/>
  <c r="F369" i="4"/>
  <c r="G369" i="4"/>
  <c r="H369" i="4"/>
  <c r="I369" i="4"/>
  <c r="J369" i="4"/>
  <c r="K369" i="4"/>
  <c r="L369" i="4"/>
  <c r="F370" i="4"/>
  <c r="G370" i="4"/>
  <c r="H370" i="4"/>
  <c r="I370" i="4"/>
  <c r="J370" i="4"/>
  <c r="K370" i="4"/>
  <c r="L370" i="4"/>
  <c r="F371" i="4"/>
  <c r="G371" i="4"/>
  <c r="H371" i="4"/>
  <c r="I371" i="4"/>
  <c r="J371" i="4"/>
  <c r="K371" i="4"/>
  <c r="L371" i="4"/>
  <c r="F372" i="4"/>
  <c r="G372" i="4"/>
  <c r="H372" i="4"/>
  <c r="I372" i="4"/>
  <c r="J372" i="4"/>
  <c r="K372" i="4"/>
  <c r="L372" i="4"/>
  <c r="F373" i="4"/>
  <c r="G373" i="4"/>
  <c r="H373" i="4"/>
  <c r="I373" i="4"/>
  <c r="J373" i="4"/>
  <c r="K373" i="4"/>
  <c r="L373" i="4"/>
  <c r="F374" i="4"/>
  <c r="G374" i="4"/>
  <c r="H374" i="4"/>
  <c r="I374" i="4"/>
  <c r="J374" i="4"/>
  <c r="K374" i="4"/>
  <c r="L374" i="4"/>
  <c r="F375" i="4"/>
  <c r="G375" i="4"/>
  <c r="H375" i="4"/>
  <c r="I375" i="4"/>
  <c r="J375" i="4"/>
  <c r="K375" i="4"/>
  <c r="L375" i="4"/>
  <c r="F376" i="4"/>
  <c r="G376" i="4"/>
  <c r="H376" i="4"/>
  <c r="I376" i="4"/>
  <c r="J376" i="4"/>
  <c r="K376" i="4"/>
  <c r="L376" i="4"/>
  <c r="F377" i="4"/>
  <c r="G377" i="4"/>
  <c r="H377" i="4"/>
  <c r="I377" i="4"/>
  <c r="J377" i="4"/>
  <c r="K377" i="4"/>
  <c r="L377" i="4"/>
  <c r="F378" i="4"/>
  <c r="G378" i="4"/>
  <c r="H378" i="4"/>
  <c r="I378" i="4"/>
  <c r="J378" i="4"/>
  <c r="K378" i="4"/>
  <c r="L378" i="4"/>
  <c r="F379" i="4"/>
  <c r="G379" i="4"/>
  <c r="H379" i="4"/>
  <c r="I379" i="4"/>
  <c r="J379" i="4"/>
  <c r="K379" i="4"/>
  <c r="L379" i="4"/>
  <c r="F380" i="4"/>
  <c r="G380" i="4"/>
  <c r="H380" i="4"/>
  <c r="I380" i="4"/>
  <c r="J380" i="4"/>
  <c r="K380" i="4"/>
  <c r="L380" i="4"/>
  <c r="F381" i="4"/>
  <c r="G381" i="4"/>
  <c r="H381" i="4"/>
  <c r="I381" i="4"/>
  <c r="J381" i="4"/>
  <c r="K381" i="4"/>
  <c r="L381" i="4"/>
  <c r="F382" i="4"/>
  <c r="G382" i="4"/>
  <c r="H382" i="4"/>
  <c r="I382" i="4"/>
  <c r="J382" i="4"/>
  <c r="K382" i="4"/>
  <c r="L382" i="4"/>
  <c r="F383" i="4"/>
  <c r="G383" i="4"/>
  <c r="H383" i="4"/>
  <c r="I383" i="4"/>
  <c r="J383" i="4"/>
  <c r="K383" i="4"/>
  <c r="L383" i="4"/>
  <c r="F384" i="4"/>
  <c r="G384" i="4"/>
  <c r="H384" i="4"/>
  <c r="I384" i="4"/>
  <c r="J384" i="4"/>
  <c r="K384" i="4"/>
  <c r="L384" i="4"/>
  <c r="F385" i="4"/>
  <c r="G385" i="4"/>
  <c r="H385" i="4"/>
  <c r="I385" i="4"/>
  <c r="J385" i="4"/>
  <c r="K385" i="4"/>
  <c r="L385" i="4"/>
  <c r="F386" i="4"/>
  <c r="G386" i="4"/>
  <c r="H386" i="4"/>
  <c r="I386" i="4"/>
  <c r="J386" i="4"/>
  <c r="K386" i="4"/>
  <c r="L386" i="4"/>
  <c r="F387" i="4"/>
  <c r="G387" i="4"/>
  <c r="H387" i="4"/>
  <c r="I387" i="4"/>
  <c r="J387" i="4"/>
  <c r="K387" i="4"/>
  <c r="L387" i="4"/>
  <c r="F388" i="4"/>
  <c r="G388" i="4"/>
  <c r="H388" i="4"/>
  <c r="I388" i="4"/>
  <c r="J388" i="4"/>
  <c r="K388" i="4"/>
  <c r="L388" i="4"/>
  <c r="F389" i="4"/>
  <c r="G389" i="4"/>
  <c r="H389" i="4"/>
  <c r="I389" i="4"/>
  <c r="J389" i="4"/>
  <c r="K389" i="4"/>
  <c r="L389" i="4"/>
  <c r="F390" i="4"/>
  <c r="G390" i="4"/>
  <c r="H390" i="4"/>
  <c r="I390" i="4"/>
  <c r="J390" i="4"/>
  <c r="K390" i="4"/>
  <c r="L390" i="4"/>
  <c r="F391" i="4"/>
  <c r="G391" i="4"/>
  <c r="H391" i="4"/>
  <c r="I391" i="4"/>
  <c r="J391" i="4"/>
  <c r="K391" i="4"/>
  <c r="L391" i="4"/>
  <c r="F392" i="4"/>
  <c r="G392" i="4"/>
  <c r="H392" i="4"/>
  <c r="I392" i="4"/>
  <c r="J392" i="4"/>
  <c r="K392" i="4"/>
  <c r="L392" i="4"/>
  <c r="F393" i="4"/>
  <c r="G393" i="4"/>
  <c r="H393" i="4"/>
  <c r="I393" i="4"/>
  <c r="J393" i="4"/>
  <c r="K393" i="4"/>
  <c r="L393" i="4"/>
  <c r="F394" i="4"/>
  <c r="G394" i="4"/>
  <c r="H394" i="4"/>
  <c r="I394" i="4"/>
  <c r="J394" i="4"/>
  <c r="K394" i="4"/>
  <c r="L394" i="4"/>
  <c r="F395" i="4"/>
  <c r="G395" i="4"/>
  <c r="H395" i="4"/>
  <c r="I395" i="4"/>
  <c r="J395" i="4"/>
  <c r="K395" i="4"/>
  <c r="L395" i="4"/>
  <c r="F396" i="4"/>
  <c r="G396" i="4"/>
  <c r="H396" i="4"/>
  <c r="I396" i="4"/>
  <c r="J396" i="4"/>
  <c r="K396" i="4"/>
  <c r="L396" i="4"/>
  <c r="F397" i="4"/>
  <c r="G397" i="4"/>
  <c r="H397" i="4"/>
  <c r="I397" i="4"/>
  <c r="J397" i="4"/>
  <c r="K397" i="4"/>
  <c r="L397" i="4"/>
  <c r="F398" i="4"/>
  <c r="G398" i="4"/>
  <c r="H398" i="4"/>
  <c r="I398" i="4"/>
  <c r="J398" i="4"/>
  <c r="K398" i="4"/>
  <c r="L398" i="4"/>
  <c r="F399" i="4"/>
  <c r="G399" i="4"/>
  <c r="H399" i="4"/>
  <c r="I399" i="4"/>
  <c r="J399" i="4"/>
  <c r="K399" i="4"/>
  <c r="L399" i="4"/>
  <c r="F400" i="4"/>
  <c r="G400" i="4"/>
  <c r="H400" i="4"/>
  <c r="I400" i="4"/>
  <c r="J400" i="4"/>
  <c r="K400" i="4"/>
  <c r="L400" i="4"/>
  <c r="F401" i="4"/>
  <c r="G401" i="4"/>
  <c r="H401" i="4"/>
  <c r="I401" i="4"/>
  <c r="J401" i="4"/>
  <c r="K401" i="4"/>
  <c r="L401" i="4"/>
  <c r="F402" i="4"/>
  <c r="G402" i="4"/>
  <c r="H402" i="4"/>
  <c r="I402" i="4"/>
  <c r="J402" i="4"/>
  <c r="K402" i="4"/>
  <c r="L402" i="4"/>
  <c r="F403" i="4"/>
  <c r="G403" i="4"/>
  <c r="H403" i="4"/>
  <c r="I403" i="4"/>
  <c r="J403" i="4"/>
  <c r="K403" i="4"/>
  <c r="L403" i="4"/>
  <c r="F404" i="4"/>
  <c r="G404" i="4"/>
  <c r="H404" i="4"/>
  <c r="I404" i="4"/>
  <c r="J404" i="4"/>
  <c r="K404" i="4"/>
  <c r="L404" i="4"/>
  <c r="F405" i="4"/>
  <c r="G405" i="4"/>
  <c r="H405" i="4"/>
  <c r="I405" i="4"/>
  <c r="J405" i="4"/>
  <c r="K405" i="4"/>
  <c r="L405" i="4"/>
  <c r="F406" i="4"/>
  <c r="G406" i="4"/>
  <c r="H406" i="4"/>
  <c r="I406" i="4"/>
  <c r="J406" i="4"/>
  <c r="K406" i="4"/>
  <c r="L406" i="4"/>
  <c r="F407" i="4"/>
  <c r="G407" i="4"/>
  <c r="H407" i="4"/>
  <c r="I407" i="4"/>
  <c r="J407" i="4"/>
  <c r="K407" i="4"/>
  <c r="L407" i="4"/>
  <c r="F408" i="4"/>
  <c r="G408" i="4"/>
  <c r="H408" i="4"/>
  <c r="I408" i="4"/>
  <c r="J408" i="4"/>
  <c r="K408" i="4"/>
  <c r="L408" i="4"/>
  <c r="F409" i="4"/>
  <c r="G409" i="4"/>
  <c r="H409" i="4"/>
  <c r="I409" i="4"/>
  <c r="J409" i="4"/>
  <c r="K409" i="4"/>
  <c r="L409" i="4"/>
  <c r="F410" i="4"/>
  <c r="G410" i="4"/>
  <c r="H410" i="4"/>
  <c r="I410" i="4"/>
  <c r="J410" i="4"/>
  <c r="K410" i="4"/>
  <c r="L410" i="4"/>
  <c r="F411" i="4"/>
  <c r="G411" i="4"/>
  <c r="H411" i="4"/>
  <c r="I411" i="4"/>
  <c r="J411" i="4"/>
  <c r="K411" i="4"/>
  <c r="L411" i="4"/>
  <c r="F412" i="4"/>
  <c r="G412" i="4"/>
  <c r="H412" i="4"/>
  <c r="I412" i="4"/>
  <c r="J412" i="4"/>
  <c r="K412" i="4"/>
  <c r="L412" i="4"/>
  <c r="F413" i="4"/>
  <c r="G413" i="4"/>
  <c r="H413" i="4"/>
  <c r="I413" i="4"/>
  <c r="J413" i="4"/>
  <c r="K413" i="4"/>
  <c r="L413" i="4"/>
  <c r="F414" i="4"/>
  <c r="G414" i="4"/>
  <c r="H414" i="4"/>
  <c r="I414" i="4"/>
  <c r="J414" i="4"/>
  <c r="K414" i="4"/>
  <c r="L414" i="4"/>
  <c r="F415" i="4"/>
  <c r="G415" i="4"/>
  <c r="H415" i="4"/>
  <c r="I415" i="4"/>
  <c r="J415" i="4"/>
  <c r="K415" i="4"/>
  <c r="L415" i="4"/>
  <c r="F416" i="4"/>
  <c r="G416" i="4"/>
  <c r="H416" i="4"/>
  <c r="I416" i="4"/>
  <c r="J416" i="4"/>
  <c r="K416" i="4"/>
  <c r="L416" i="4"/>
  <c r="F417" i="4"/>
  <c r="G417" i="4"/>
  <c r="H417" i="4"/>
  <c r="I417" i="4"/>
  <c r="J417" i="4"/>
  <c r="K417" i="4"/>
  <c r="L417" i="4"/>
  <c r="F418" i="4"/>
  <c r="G418" i="4"/>
  <c r="H418" i="4"/>
  <c r="I418" i="4"/>
  <c r="J418" i="4"/>
  <c r="K418" i="4"/>
  <c r="L418" i="4"/>
  <c r="F419" i="4"/>
  <c r="G419" i="4"/>
  <c r="H419" i="4"/>
  <c r="I419" i="4"/>
  <c r="J419" i="4"/>
  <c r="K419" i="4"/>
  <c r="L419" i="4"/>
  <c r="F420" i="4"/>
  <c r="G420" i="4"/>
  <c r="H420" i="4"/>
  <c r="I420" i="4"/>
  <c r="J420" i="4"/>
  <c r="K420" i="4"/>
  <c r="L420" i="4"/>
  <c r="F421" i="4"/>
  <c r="G421" i="4"/>
  <c r="H421" i="4"/>
  <c r="I421" i="4"/>
  <c r="J421" i="4"/>
  <c r="K421" i="4"/>
  <c r="L421" i="4"/>
  <c r="F422" i="4"/>
  <c r="G422" i="4"/>
  <c r="H422" i="4"/>
  <c r="I422" i="4"/>
  <c r="J422" i="4"/>
  <c r="K422" i="4"/>
  <c r="L422" i="4"/>
  <c r="F423" i="4"/>
  <c r="G423" i="4"/>
  <c r="H423" i="4"/>
  <c r="I423" i="4"/>
  <c r="J423" i="4"/>
  <c r="K423" i="4"/>
  <c r="L423" i="4"/>
  <c r="F424" i="4"/>
  <c r="G424" i="4"/>
  <c r="H424" i="4"/>
  <c r="I424" i="4"/>
  <c r="J424" i="4"/>
  <c r="K424" i="4"/>
  <c r="L424" i="4"/>
  <c r="F425" i="4"/>
  <c r="G425" i="4"/>
  <c r="H425" i="4"/>
  <c r="I425" i="4"/>
  <c r="J425" i="4"/>
  <c r="K425" i="4"/>
  <c r="L425" i="4"/>
  <c r="F426" i="4"/>
  <c r="G426" i="4"/>
  <c r="H426" i="4"/>
  <c r="I426" i="4"/>
  <c r="J426" i="4"/>
  <c r="K426" i="4"/>
  <c r="L426" i="4"/>
  <c r="F427" i="4"/>
  <c r="G427" i="4"/>
  <c r="H427" i="4"/>
  <c r="I427" i="4"/>
  <c r="J427" i="4"/>
  <c r="K427" i="4"/>
  <c r="L427" i="4"/>
  <c r="F428" i="4"/>
  <c r="G428" i="4"/>
  <c r="H428" i="4"/>
  <c r="I428" i="4"/>
  <c r="J428" i="4"/>
  <c r="K428" i="4"/>
  <c r="L428" i="4"/>
  <c r="F429" i="4"/>
  <c r="G429" i="4"/>
  <c r="H429" i="4"/>
  <c r="I429" i="4"/>
  <c r="J429" i="4"/>
  <c r="K429" i="4"/>
  <c r="L429" i="4"/>
  <c r="F430" i="4"/>
  <c r="G430" i="4"/>
  <c r="H430" i="4"/>
  <c r="I430" i="4"/>
  <c r="J430" i="4"/>
  <c r="K430" i="4"/>
  <c r="L430" i="4"/>
  <c r="F431" i="4"/>
  <c r="G431" i="4"/>
  <c r="H431" i="4"/>
  <c r="I431" i="4"/>
  <c r="J431" i="4"/>
  <c r="K431" i="4"/>
  <c r="L431" i="4"/>
  <c r="F432" i="4"/>
  <c r="G432" i="4"/>
  <c r="H432" i="4"/>
  <c r="I432" i="4"/>
  <c r="J432" i="4"/>
  <c r="K432" i="4"/>
  <c r="L432" i="4"/>
  <c r="F433" i="4"/>
  <c r="G433" i="4"/>
  <c r="H433" i="4"/>
  <c r="I433" i="4"/>
  <c r="J433" i="4"/>
  <c r="K433" i="4"/>
  <c r="L433" i="4"/>
  <c r="F434" i="4"/>
  <c r="G434" i="4"/>
  <c r="H434" i="4"/>
  <c r="I434" i="4"/>
  <c r="J434" i="4"/>
  <c r="K434" i="4"/>
  <c r="L434" i="4"/>
  <c r="F435" i="4"/>
  <c r="G435" i="4"/>
  <c r="H435" i="4"/>
  <c r="I435" i="4"/>
  <c r="J435" i="4"/>
  <c r="K435" i="4"/>
  <c r="L435" i="4"/>
  <c r="F436" i="4"/>
  <c r="G436" i="4"/>
  <c r="H436" i="4"/>
  <c r="I436" i="4"/>
  <c r="J436" i="4"/>
  <c r="K436" i="4"/>
  <c r="L436" i="4"/>
  <c r="F437" i="4"/>
  <c r="G437" i="4"/>
  <c r="H437" i="4"/>
  <c r="I437" i="4"/>
  <c r="J437" i="4"/>
  <c r="K437" i="4"/>
  <c r="L437" i="4"/>
  <c r="F438" i="4"/>
  <c r="G438" i="4"/>
  <c r="H438" i="4"/>
  <c r="I438" i="4"/>
  <c r="J438" i="4"/>
  <c r="K438" i="4"/>
  <c r="L438" i="4"/>
  <c r="F439" i="4"/>
  <c r="G439" i="4"/>
  <c r="H439" i="4"/>
  <c r="I439" i="4"/>
  <c r="J439" i="4"/>
  <c r="K439" i="4"/>
  <c r="L439" i="4"/>
  <c r="F440" i="4"/>
  <c r="G440" i="4"/>
  <c r="H440" i="4"/>
  <c r="I440" i="4"/>
  <c r="J440" i="4"/>
  <c r="K440" i="4"/>
  <c r="L440" i="4"/>
  <c r="F441" i="4"/>
  <c r="G441" i="4"/>
  <c r="H441" i="4"/>
  <c r="I441" i="4"/>
  <c r="J441" i="4"/>
  <c r="K441" i="4"/>
  <c r="L441" i="4"/>
  <c r="F442" i="4"/>
  <c r="G442" i="4"/>
  <c r="H442" i="4"/>
  <c r="I442" i="4"/>
  <c r="J442" i="4"/>
  <c r="K442" i="4"/>
  <c r="L442" i="4"/>
  <c r="F443" i="4"/>
  <c r="G443" i="4"/>
  <c r="H443" i="4"/>
  <c r="I443" i="4"/>
  <c r="J443" i="4"/>
  <c r="K443" i="4"/>
  <c r="L443" i="4"/>
  <c r="F444" i="4"/>
  <c r="G444" i="4"/>
  <c r="H444" i="4"/>
  <c r="I444" i="4"/>
  <c r="J444" i="4"/>
  <c r="K444" i="4"/>
  <c r="L444" i="4"/>
  <c r="F445" i="4"/>
  <c r="G445" i="4"/>
  <c r="H445" i="4"/>
  <c r="I445" i="4"/>
  <c r="J445" i="4"/>
  <c r="K445" i="4"/>
  <c r="L445" i="4"/>
  <c r="F446" i="4"/>
  <c r="G446" i="4"/>
  <c r="H446" i="4"/>
  <c r="I446" i="4"/>
  <c r="J446" i="4"/>
  <c r="K446" i="4"/>
  <c r="L446" i="4"/>
  <c r="F447" i="4"/>
  <c r="G447" i="4"/>
  <c r="H447" i="4"/>
  <c r="I447" i="4"/>
  <c r="J447" i="4"/>
  <c r="K447" i="4"/>
  <c r="L447" i="4"/>
  <c r="F448" i="4"/>
  <c r="G448" i="4"/>
  <c r="H448" i="4"/>
  <c r="I448" i="4"/>
  <c r="J448" i="4"/>
  <c r="K448" i="4"/>
  <c r="L448" i="4"/>
  <c r="F449" i="4"/>
  <c r="G449" i="4"/>
  <c r="H449" i="4"/>
  <c r="I449" i="4"/>
  <c r="J449" i="4"/>
  <c r="K449" i="4"/>
  <c r="L449" i="4"/>
  <c r="F450" i="4"/>
  <c r="G450" i="4"/>
  <c r="H450" i="4"/>
  <c r="I450" i="4"/>
  <c r="J450" i="4"/>
  <c r="K450" i="4"/>
  <c r="L450" i="4"/>
  <c r="F451" i="4"/>
  <c r="G451" i="4"/>
  <c r="H451" i="4"/>
  <c r="I451" i="4"/>
  <c r="J451" i="4"/>
  <c r="K451" i="4"/>
  <c r="L451" i="4"/>
  <c r="F452" i="4"/>
  <c r="G452" i="4"/>
  <c r="H452" i="4"/>
  <c r="I452" i="4"/>
  <c r="J452" i="4"/>
  <c r="K452" i="4"/>
  <c r="L452" i="4"/>
  <c r="F453" i="4"/>
  <c r="G453" i="4"/>
  <c r="H453" i="4"/>
  <c r="I453" i="4"/>
  <c r="J453" i="4"/>
  <c r="K453" i="4"/>
  <c r="L453" i="4"/>
  <c r="F454" i="4"/>
  <c r="G454" i="4"/>
  <c r="H454" i="4"/>
  <c r="I454" i="4"/>
  <c r="J454" i="4"/>
  <c r="K454" i="4"/>
  <c r="L454" i="4"/>
  <c r="F455" i="4"/>
  <c r="G455" i="4"/>
  <c r="H455" i="4"/>
  <c r="I455" i="4"/>
  <c r="J455" i="4"/>
  <c r="K455" i="4"/>
  <c r="L455" i="4"/>
  <c r="F456" i="4"/>
  <c r="G456" i="4"/>
  <c r="H456" i="4"/>
  <c r="I456" i="4"/>
  <c r="J456" i="4"/>
  <c r="K456" i="4"/>
  <c r="L456" i="4"/>
  <c r="F457" i="4"/>
  <c r="G457" i="4"/>
  <c r="H457" i="4"/>
  <c r="I457" i="4"/>
  <c r="J457" i="4"/>
  <c r="K457" i="4"/>
  <c r="L457" i="4"/>
  <c r="F458" i="4"/>
  <c r="G458" i="4"/>
  <c r="H458" i="4"/>
  <c r="I458" i="4"/>
  <c r="J458" i="4"/>
  <c r="K458" i="4"/>
  <c r="L458" i="4"/>
  <c r="F459" i="4"/>
  <c r="G459" i="4"/>
  <c r="H459" i="4"/>
  <c r="I459" i="4"/>
  <c r="J459" i="4"/>
  <c r="K459" i="4"/>
  <c r="L459" i="4"/>
  <c r="F460" i="4"/>
  <c r="G460" i="4"/>
  <c r="H460" i="4"/>
  <c r="I460" i="4"/>
  <c r="J460" i="4"/>
  <c r="K460" i="4"/>
  <c r="L460" i="4"/>
  <c r="F461" i="4"/>
  <c r="G461" i="4"/>
  <c r="H461" i="4"/>
  <c r="I461" i="4"/>
  <c r="J461" i="4"/>
  <c r="K461" i="4"/>
  <c r="L461" i="4"/>
  <c r="F462" i="4"/>
  <c r="G462" i="4"/>
  <c r="H462" i="4"/>
  <c r="I462" i="4"/>
  <c r="J462" i="4"/>
  <c r="K462" i="4"/>
  <c r="L462" i="4"/>
  <c r="F463" i="4"/>
  <c r="G463" i="4"/>
  <c r="H463" i="4"/>
  <c r="I463" i="4"/>
  <c r="J463" i="4"/>
  <c r="K463" i="4"/>
  <c r="L463" i="4"/>
  <c r="F464" i="4"/>
  <c r="G464" i="4"/>
  <c r="H464" i="4"/>
  <c r="I464" i="4"/>
  <c r="J464" i="4"/>
  <c r="K464" i="4"/>
  <c r="L464" i="4"/>
  <c r="F465" i="4"/>
  <c r="G465" i="4"/>
  <c r="H465" i="4"/>
  <c r="I465" i="4"/>
  <c r="J465" i="4"/>
  <c r="K465" i="4"/>
  <c r="L465" i="4"/>
  <c r="F466" i="4"/>
  <c r="G466" i="4"/>
  <c r="H466" i="4"/>
  <c r="I466" i="4"/>
  <c r="J466" i="4"/>
  <c r="K466" i="4"/>
  <c r="L466" i="4"/>
  <c r="F467" i="4"/>
  <c r="G467" i="4"/>
  <c r="H467" i="4"/>
  <c r="I467" i="4"/>
  <c r="J467" i="4"/>
  <c r="K467" i="4"/>
  <c r="L467" i="4"/>
  <c r="F468" i="4"/>
  <c r="G468" i="4"/>
  <c r="H468" i="4"/>
  <c r="I468" i="4"/>
  <c r="J468" i="4"/>
  <c r="K468" i="4"/>
  <c r="L468" i="4"/>
  <c r="F469" i="4"/>
  <c r="G469" i="4"/>
  <c r="H469" i="4"/>
  <c r="I469" i="4"/>
  <c r="J469" i="4"/>
  <c r="K469" i="4"/>
  <c r="L469" i="4"/>
  <c r="F470" i="4"/>
  <c r="G470" i="4"/>
  <c r="H470" i="4"/>
  <c r="I470" i="4"/>
  <c r="J470" i="4"/>
  <c r="K470" i="4"/>
  <c r="L470" i="4"/>
  <c r="F471" i="4"/>
  <c r="G471" i="4"/>
  <c r="H471" i="4"/>
  <c r="I471" i="4"/>
  <c r="J471" i="4"/>
  <c r="K471" i="4"/>
  <c r="L471" i="4"/>
  <c r="F472" i="4"/>
  <c r="G472" i="4"/>
  <c r="H472" i="4"/>
  <c r="I472" i="4"/>
  <c r="J472" i="4"/>
  <c r="K472" i="4"/>
  <c r="L472" i="4"/>
  <c r="F473" i="4"/>
  <c r="G473" i="4"/>
  <c r="H473" i="4"/>
  <c r="I473" i="4"/>
  <c r="J473" i="4"/>
  <c r="K473" i="4"/>
  <c r="L473" i="4"/>
  <c r="F474" i="4"/>
  <c r="G474" i="4"/>
  <c r="H474" i="4"/>
  <c r="I474" i="4"/>
  <c r="J474" i="4"/>
  <c r="K474" i="4"/>
  <c r="L474" i="4"/>
  <c r="F475" i="4"/>
  <c r="G475" i="4"/>
  <c r="H475" i="4"/>
  <c r="I475" i="4"/>
  <c r="J475" i="4"/>
  <c r="K475" i="4"/>
  <c r="L475" i="4"/>
  <c r="F476" i="4"/>
  <c r="G476" i="4"/>
  <c r="H476" i="4"/>
  <c r="I476" i="4"/>
  <c r="J476" i="4"/>
  <c r="K476" i="4"/>
  <c r="L476" i="4"/>
  <c r="F477" i="4"/>
  <c r="G477" i="4"/>
  <c r="H477" i="4"/>
  <c r="I477" i="4"/>
  <c r="J477" i="4"/>
  <c r="K477" i="4"/>
  <c r="L477" i="4"/>
  <c r="F478" i="4"/>
  <c r="G478" i="4"/>
  <c r="H478" i="4"/>
  <c r="I478" i="4"/>
  <c r="J478" i="4"/>
  <c r="K478" i="4"/>
  <c r="L478" i="4"/>
  <c r="F479" i="4"/>
  <c r="G479" i="4"/>
  <c r="H479" i="4"/>
  <c r="I479" i="4"/>
  <c r="J479" i="4"/>
  <c r="K479" i="4"/>
  <c r="L479" i="4"/>
  <c r="F480" i="4"/>
  <c r="G480" i="4"/>
  <c r="H480" i="4"/>
  <c r="I480" i="4"/>
  <c r="J480" i="4"/>
  <c r="K480" i="4"/>
  <c r="L480" i="4"/>
  <c r="F481" i="4"/>
  <c r="G481" i="4"/>
  <c r="H481" i="4"/>
  <c r="I481" i="4"/>
  <c r="J481" i="4"/>
  <c r="K481" i="4"/>
  <c r="L481" i="4"/>
  <c r="F482" i="4"/>
  <c r="G482" i="4"/>
  <c r="H482" i="4"/>
  <c r="I482" i="4"/>
  <c r="J482" i="4"/>
  <c r="K482" i="4"/>
  <c r="L482" i="4"/>
  <c r="F483" i="4"/>
  <c r="G483" i="4"/>
  <c r="H483" i="4"/>
  <c r="I483" i="4"/>
  <c r="J483" i="4"/>
  <c r="K483" i="4"/>
  <c r="L483" i="4"/>
  <c r="F484" i="4"/>
  <c r="G484" i="4"/>
  <c r="H484" i="4"/>
  <c r="I484" i="4"/>
  <c r="J484" i="4"/>
  <c r="K484" i="4"/>
  <c r="L484" i="4"/>
  <c r="F485" i="4"/>
  <c r="G485" i="4"/>
  <c r="H485" i="4"/>
  <c r="I485" i="4"/>
  <c r="J485" i="4"/>
  <c r="K485" i="4"/>
  <c r="L485" i="4"/>
  <c r="F486" i="4"/>
  <c r="G486" i="4"/>
  <c r="H486" i="4"/>
  <c r="I486" i="4"/>
  <c r="J486" i="4"/>
  <c r="K486" i="4"/>
  <c r="L486" i="4"/>
  <c r="F487" i="4"/>
  <c r="G487" i="4"/>
  <c r="H487" i="4"/>
  <c r="I487" i="4"/>
  <c r="J487" i="4"/>
  <c r="K487" i="4"/>
  <c r="L487" i="4"/>
  <c r="F488" i="4"/>
  <c r="G488" i="4"/>
  <c r="H488" i="4"/>
  <c r="I488" i="4"/>
  <c r="J488" i="4"/>
  <c r="K488" i="4"/>
  <c r="L488" i="4"/>
  <c r="F489" i="4"/>
  <c r="G489" i="4"/>
  <c r="H489" i="4"/>
  <c r="I489" i="4"/>
  <c r="J489" i="4"/>
  <c r="K489" i="4"/>
  <c r="L489" i="4"/>
  <c r="A433" i="4"/>
  <c r="A434" i="4"/>
  <c r="A435" i="4"/>
  <c r="A436" i="4"/>
  <c r="A437" i="4"/>
  <c r="A438" i="4"/>
  <c r="A439" i="4"/>
  <c r="A440" i="4"/>
  <c r="A441" i="4"/>
  <c r="A442" i="4"/>
  <c r="A443" i="4"/>
  <c r="A444" i="4"/>
  <c r="A445" i="4"/>
  <c r="A446" i="4"/>
  <c r="A447" i="4"/>
  <c r="A448" i="4"/>
  <c r="A449" i="4"/>
  <c r="A450" i="4"/>
  <c r="A451" i="4"/>
  <c r="A452" i="4"/>
  <c r="A453" i="4"/>
  <c r="A454" i="4"/>
  <c r="A455" i="4"/>
  <c r="A456" i="4"/>
  <c r="A457" i="4"/>
  <c r="A458" i="4"/>
  <c r="A459" i="4"/>
  <c r="A460" i="4"/>
  <c r="A461" i="4"/>
  <c r="A462" i="4"/>
  <c r="A463" i="4"/>
  <c r="A464" i="4"/>
  <c r="A465" i="4"/>
  <c r="A466" i="4"/>
  <c r="A467" i="4"/>
  <c r="A468" i="4"/>
  <c r="A469" i="4"/>
  <c r="A470" i="4"/>
  <c r="A471" i="4"/>
  <c r="A472" i="4"/>
  <c r="A473" i="4"/>
  <c r="A474" i="4"/>
  <c r="A475" i="4"/>
  <c r="A476" i="4"/>
  <c r="A477" i="4"/>
  <c r="A478" i="4"/>
  <c r="A479" i="4"/>
  <c r="A480" i="4"/>
  <c r="A481" i="4"/>
  <c r="A482" i="4"/>
  <c r="A483" i="4"/>
  <c r="A484" i="4"/>
  <c r="A485" i="4"/>
  <c r="A486" i="4"/>
  <c r="A487" i="4"/>
  <c r="A488" i="4"/>
  <c r="A489" i="4"/>
  <c r="A432" i="4"/>
  <c r="A2" i="4"/>
  <c r="A3" i="4"/>
  <c r="A4" i="4"/>
  <c r="A5" i="4"/>
  <c r="A6" i="4"/>
  <c r="A7" i="4"/>
  <c r="A8" i="4"/>
  <c r="A9" i="4"/>
  <c r="A10" i="4"/>
  <c r="A11" i="4"/>
  <c r="A12" i="4"/>
  <c r="A13" i="4"/>
  <c r="A14" i="4"/>
  <c r="A15" i="4"/>
  <c r="A16" i="4"/>
  <c r="A17" i="4"/>
  <c r="A18" i="4"/>
  <c r="A19" i="4"/>
  <c r="A20" i="4"/>
  <c r="A21" i="4"/>
  <c r="A22" i="4"/>
  <c r="A23" i="4"/>
  <c r="A24" i="4"/>
  <c r="A25" i="4"/>
  <c r="A26" i="4"/>
  <c r="A27" i="4"/>
  <c r="A28" i="4"/>
  <c r="A29" i="4"/>
  <c r="A30" i="4"/>
  <c r="A31" i="4"/>
  <c r="A32" i="4"/>
  <c r="A33" i="4"/>
  <c r="A34" i="4"/>
  <c r="A35" i="4"/>
  <c r="A36" i="4"/>
  <c r="A37" i="4"/>
  <c r="A38" i="4"/>
  <c r="A39" i="4"/>
  <c r="A40" i="4"/>
  <c r="A41" i="4"/>
  <c r="A42" i="4"/>
  <c r="A43" i="4"/>
  <c r="A44" i="4"/>
  <c r="A45" i="4"/>
  <c r="A46" i="4"/>
  <c r="A47" i="4"/>
  <c r="A48" i="4"/>
  <c r="A49" i="4"/>
  <c r="A50" i="4"/>
  <c r="A51" i="4"/>
  <c r="A52" i="4"/>
  <c r="A53" i="4"/>
  <c r="A54" i="4"/>
  <c r="A55" i="4"/>
  <c r="A56" i="4"/>
  <c r="A57" i="4"/>
  <c r="A58" i="4"/>
  <c r="A59" i="4"/>
  <c r="A60" i="4"/>
  <c r="A61" i="4"/>
  <c r="A62" i="4"/>
  <c r="A63" i="4"/>
  <c r="A64" i="4"/>
  <c r="A65" i="4"/>
  <c r="A66" i="4"/>
  <c r="A67" i="4"/>
  <c r="A68" i="4"/>
  <c r="A69" i="4"/>
  <c r="A70" i="4"/>
  <c r="A71" i="4"/>
  <c r="A72" i="4"/>
  <c r="A73" i="4"/>
  <c r="A74" i="4"/>
  <c r="A75" i="4"/>
  <c r="A76" i="4"/>
  <c r="A77" i="4"/>
  <c r="A78" i="4"/>
  <c r="A79" i="4"/>
  <c r="A80" i="4"/>
  <c r="A81" i="4"/>
  <c r="A82" i="4"/>
  <c r="A83" i="4"/>
  <c r="A84" i="4"/>
  <c r="A85" i="4"/>
  <c r="A86" i="4"/>
  <c r="A87" i="4"/>
  <c r="A88" i="4"/>
  <c r="A89" i="4"/>
  <c r="A90" i="4"/>
  <c r="A91" i="4"/>
  <c r="A92" i="4"/>
  <c r="A93" i="4"/>
  <c r="A94" i="4"/>
  <c r="A95" i="4"/>
  <c r="A96" i="4"/>
  <c r="A97" i="4"/>
  <c r="A98" i="4"/>
  <c r="A99" i="4"/>
  <c r="A100" i="4"/>
  <c r="A101" i="4"/>
  <c r="A102" i="4"/>
  <c r="A103" i="4"/>
  <c r="A104" i="4"/>
  <c r="A105" i="4"/>
  <c r="A106" i="4"/>
  <c r="A107" i="4"/>
  <c r="A108" i="4"/>
  <c r="A109" i="4"/>
  <c r="A110" i="4"/>
  <c r="A111" i="4"/>
  <c r="A112" i="4"/>
  <c r="A113" i="4"/>
  <c r="A114" i="4"/>
  <c r="A115" i="4"/>
  <c r="A116" i="4"/>
  <c r="A117" i="4"/>
  <c r="A118" i="4"/>
  <c r="A119" i="4"/>
  <c r="A120" i="4"/>
  <c r="A121" i="4"/>
  <c r="A122" i="4"/>
  <c r="A123" i="4"/>
  <c r="A124" i="4"/>
  <c r="A125" i="4"/>
  <c r="A126" i="4"/>
  <c r="A127" i="4"/>
  <c r="A128" i="4"/>
  <c r="A129" i="4"/>
  <c r="A130" i="4"/>
  <c r="A131" i="4"/>
  <c r="A132" i="4"/>
  <c r="A133" i="4"/>
  <c r="A134" i="4"/>
  <c r="A135" i="4"/>
  <c r="A136" i="4"/>
  <c r="A137" i="4"/>
  <c r="A138" i="4"/>
  <c r="A139" i="4"/>
  <c r="A140" i="4"/>
  <c r="A141" i="4"/>
  <c r="A142" i="4"/>
  <c r="A143" i="4"/>
  <c r="A144" i="4"/>
  <c r="A145" i="4"/>
  <c r="A146" i="4"/>
  <c r="A147" i="4"/>
  <c r="A148" i="4"/>
  <c r="A149" i="4"/>
  <c r="A150" i="4"/>
  <c r="A151" i="4"/>
  <c r="A152" i="4"/>
  <c r="A153" i="4"/>
  <c r="A154" i="4"/>
  <c r="A155" i="4"/>
  <c r="A156" i="4"/>
  <c r="A157" i="4"/>
  <c r="A158" i="4"/>
  <c r="A159" i="4"/>
  <c r="A160" i="4"/>
  <c r="A161" i="4"/>
  <c r="A162" i="4"/>
  <c r="A163" i="4"/>
  <c r="A164" i="4"/>
  <c r="A165" i="4"/>
  <c r="A166" i="4"/>
  <c r="A167" i="4"/>
  <c r="A168" i="4"/>
  <c r="A169" i="4"/>
  <c r="A170" i="4"/>
  <c r="A171" i="4"/>
  <c r="A172" i="4"/>
  <c r="A173" i="4"/>
  <c r="A174" i="4"/>
  <c r="A175" i="4"/>
  <c r="A176" i="4"/>
  <c r="A177" i="4"/>
  <c r="A178" i="4"/>
  <c r="A179" i="4"/>
  <c r="A180" i="4"/>
  <c r="A181" i="4"/>
  <c r="A182" i="4"/>
  <c r="A183" i="4"/>
  <c r="A184" i="4"/>
  <c r="A185" i="4"/>
  <c r="A186" i="4"/>
  <c r="A187" i="4"/>
  <c r="A188" i="4"/>
  <c r="A189" i="4"/>
  <c r="A190" i="4"/>
  <c r="A191" i="4"/>
  <c r="A192" i="4"/>
  <c r="A193" i="4"/>
  <c r="A194" i="4"/>
  <c r="A195" i="4"/>
  <c r="A196" i="4"/>
  <c r="A197" i="4"/>
  <c r="A198" i="4"/>
  <c r="A199" i="4"/>
  <c r="A200" i="4"/>
  <c r="A201" i="4"/>
  <c r="A202" i="4"/>
  <c r="A203" i="4"/>
  <c r="A204" i="4"/>
  <c r="A205" i="4"/>
  <c r="A206" i="4"/>
  <c r="A207" i="4"/>
  <c r="A208" i="4"/>
  <c r="A209" i="4"/>
  <c r="A210" i="4"/>
  <c r="A211" i="4"/>
  <c r="A212" i="4"/>
  <c r="A213" i="4"/>
  <c r="A214" i="4"/>
  <c r="A215" i="4"/>
  <c r="A216" i="4"/>
  <c r="A217" i="4"/>
  <c r="A218" i="4"/>
  <c r="A219" i="4"/>
  <c r="A220" i="4"/>
  <c r="A221" i="4"/>
  <c r="A222" i="4"/>
  <c r="A223" i="4"/>
  <c r="A224" i="4"/>
  <c r="A225" i="4"/>
  <c r="A226" i="4"/>
  <c r="A227" i="4"/>
  <c r="A228" i="4"/>
  <c r="A229" i="4"/>
  <c r="A230" i="4"/>
  <c r="A231" i="4"/>
  <c r="A232" i="4"/>
  <c r="A233" i="4"/>
  <c r="A234" i="4"/>
  <c r="A235" i="4"/>
  <c r="A236" i="4"/>
  <c r="A237" i="4"/>
  <c r="A238" i="4"/>
  <c r="A239" i="4"/>
  <c r="A240" i="4"/>
  <c r="A241" i="4"/>
  <c r="A242" i="4"/>
  <c r="A243" i="4"/>
  <c r="A244" i="4"/>
  <c r="A245" i="4"/>
  <c r="A246" i="4"/>
  <c r="A247" i="4"/>
  <c r="A248" i="4"/>
  <c r="A249" i="4"/>
  <c r="A250" i="4"/>
  <c r="A251" i="4"/>
  <c r="A252" i="4"/>
  <c r="A253" i="4"/>
  <c r="A254" i="4"/>
  <c r="A255" i="4"/>
  <c r="A256" i="4"/>
  <c r="A257" i="4"/>
  <c r="A258" i="4"/>
  <c r="A259" i="4"/>
  <c r="A260" i="4"/>
  <c r="A261" i="4"/>
  <c r="A262" i="4"/>
  <c r="A263" i="4"/>
  <c r="A264" i="4"/>
  <c r="A265" i="4"/>
  <c r="A266" i="4"/>
  <c r="A267" i="4"/>
  <c r="A268" i="4"/>
  <c r="A269" i="4"/>
  <c r="A270" i="4"/>
  <c r="A271" i="4"/>
  <c r="A272" i="4"/>
  <c r="A273" i="4"/>
  <c r="A274" i="4"/>
  <c r="A275" i="4"/>
  <c r="A276" i="4"/>
  <c r="A277" i="4"/>
  <c r="A278" i="4"/>
  <c r="A279" i="4"/>
  <c r="A280" i="4"/>
  <c r="A281" i="4"/>
  <c r="A282" i="4"/>
  <c r="A283" i="4"/>
  <c r="A284" i="4"/>
  <c r="A285" i="4"/>
  <c r="A286" i="4"/>
  <c r="A287" i="4"/>
  <c r="A288" i="4"/>
  <c r="A289" i="4"/>
  <c r="A290" i="4"/>
  <c r="A291" i="4"/>
  <c r="A292" i="4"/>
  <c r="A293" i="4"/>
  <c r="A294" i="4"/>
  <c r="A295" i="4"/>
  <c r="A296" i="4"/>
  <c r="A297" i="4"/>
  <c r="A298" i="4"/>
  <c r="A299" i="4"/>
  <c r="A300" i="4"/>
  <c r="A301" i="4"/>
  <c r="A302" i="4"/>
  <c r="A303" i="4"/>
  <c r="A304" i="4"/>
  <c r="A305" i="4"/>
  <c r="A306" i="4"/>
  <c r="A307" i="4"/>
  <c r="A308" i="4"/>
  <c r="A309" i="4"/>
  <c r="A310" i="4"/>
  <c r="A311" i="4"/>
  <c r="A312" i="4"/>
  <c r="A313" i="4"/>
  <c r="A314" i="4"/>
  <c r="A315" i="4"/>
  <c r="A316" i="4"/>
  <c r="A317" i="4"/>
  <c r="A318" i="4"/>
  <c r="A319" i="4"/>
  <c r="A320" i="4"/>
  <c r="A321" i="4"/>
  <c r="A322" i="4"/>
  <c r="A323" i="4"/>
  <c r="A324" i="4"/>
  <c r="A325" i="4"/>
  <c r="A326" i="4"/>
  <c r="A327" i="4"/>
  <c r="A328" i="4"/>
  <c r="A329" i="4"/>
  <c r="A330" i="4"/>
  <c r="A331" i="4"/>
  <c r="A332" i="4"/>
  <c r="A333" i="4"/>
  <c r="A334" i="4"/>
  <c r="A335" i="4"/>
  <c r="A336" i="4"/>
  <c r="A337" i="4"/>
  <c r="A338" i="4"/>
  <c r="A339" i="4"/>
  <c r="A340" i="4"/>
  <c r="A341" i="4"/>
  <c r="A342" i="4"/>
  <c r="A343" i="4"/>
  <c r="A344" i="4"/>
  <c r="A345" i="4"/>
  <c r="A346" i="4"/>
  <c r="A347" i="4"/>
  <c r="A348" i="4"/>
  <c r="A349" i="4"/>
  <c r="A350" i="4"/>
  <c r="A351" i="4"/>
  <c r="A352" i="4"/>
  <c r="A353" i="4"/>
  <c r="A354" i="4"/>
  <c r="A355" i="4"/>
  <c r="A356" i="4"/>
  <c r="A357" i="4"/>
  <c r="A358" i="4"/>
  <c r="A359" i="4"/>
  <c r="A360" i="4"/>
  <c r="A361" i="4"/>
  <c r="A362" i="4"/>
  <c r="A363" i="4"/>
  <c r="A364" i="4"/>
  <c r="A365" i="4"/>
  <c r="A366" i="4"/>
  <c r="A367" i="4"/>
  <c r="A368" i="4"/>
  <c r="A369" i="4"/>
  <c r="A370" i="4"/>
  <c r="A371" i="4"/>
  <c r="A372" i="4"/>
  <c r="A373" i="4"/>
  <c r="A374" i="4"/>
  <c r="A375" i="4"/>
  <c r="A376" i="4"/>
  <c r="A377" i="4"/>
  <c r="A378" i="4"/>
  <c r="A379" i="4"/>
  <c r="A380" i="4"/>
  <c r="A381" i="4"/>
  <c r="A382" i="4"/>
  <c r="A383" i="4"/>
  <c r="A384" i="4"/>
  <c r="A385" i="4"/>
  <c r="A386" i="4"/>
  <c r="A387" i="4"/>
  <c r="A388" i="4"/>
  <c r="A389" i="4"/>
  <c r="A390" i="4"/>
  <c r="A391" i="4"/>
  <c r="A392" i="4"/>
  <c r="A393" i="4"/>
  <c r="A394" i="4"/>
  <c r="A395" i="4"/>
  <c r="A396" i="4"/>
  <c r="A397" i="4"/>
  <c r="A398" i="4"/>
  <c r="A399" i="4"/>
  <c r="A400" i="4"/>
  <c r="A401" i="4"/>
  <c r="A402" i="4"/>
  <c r="A403" i="4"/>
  <c r="A404" i="4"/>
  <c r="A405" i="4"/>
  <c r="A406" i="4"/>
  <c r="A407" i="4"/>
  <c r="A408" i="4"/>
  <c r="A409" i="4"/>
  <c r="A410" i="4"/>
  <c r="A411" i="4"/>
  <c r="A412" i="4"/>
  <c r="A413" i="4"/>
  <c r="A414" i="4"/>
  <c r="A415" i="4"/>
  <c r="A416" i="4"/>
  <c r="A417" i="4"/>
  <c r="A418" i="4"/>
  <c r="A419" i="4"/>
  <c r="A420" i="4"/>
  <c r="A421" i="4"/>
  <c r="A422" i="4"/>
  <c r="A423" i="4"/>
  <c r="A424" i="4"/>
  <c r="A425" i="4"/>
  <c r="A426" i="4"/>
  <c r="A427" i="4"/>
  <c r="A428" i="4"/>
  <c r="A429" i="4"/>
  <c r="A430" i="4"/>
  <c r="A431" i="4"/>
  <c r="A10" i="5" l="1"/>
  <c r="A11" i="5" s="1"/>
  <c r="C11" i="5"/>
</calcChain>
</file>

<file path=xl/sharedStrings.xml><?xml version="1.0" encoding="utf-8"?>
<sst xmlns="http://schemas.openxmlformats.org/spreadsheetml/2006/main" count="3135" uniqueCount="619">
  <si>
    <t>Order_ID</t>
  </si>
  <si>
    <t>Order_Date</t>
  </si>
  <si>
    <t>Delivery_Date</t>
  </si>
  <si>
    <t>Supplier_Name</t>
  </si>
  <si>
    <t>Product_Category</t>
  </si>
  <si>
    <t>Warehouse_ID</t>
  </si>
  <si>
    <t>Units_Ordered</t>
  </si>
  <si>
    <t>Units_Shipped</t>
  </si>
  <si>
    <t>Unit_Revenue</t>
  </si>
  <si>
    <t>COGS_Per_Unit</t>
  </si>
  <si>
    <t>Promised_Lead_Time</t>
  </si>
  <si>
    <t>Inventory_Value_OnHand</t>
  </si>
  <si>
    <t>ORD-0001</t>
  </si>
  <si>
    <t>Greenfield Foods</t>
  </si>
  <si>
    <t>Dairy</t>
  </si>
  <si>
    <t>WH-C</t>
  </si>
  <si>
    <t>ORD-0002</t>
  </si>
  <si>
    <t xml:space="preserve">Greenfield Foods </t>
  </si>
  <si>
    <t>Bakery</t>
  </si>
  <si>
    <t>WH-B</t>
  </si>
  <si>
    <t>ORD-0003</t>
  </si>
  <si>
    <t>Nova Cold Logistics</t>
  </si>
  <si>
    <t>WH-D</t>
  </si>
  <si>
    <t>ORD-0004</t>
  </si>
  <si>
    <t>Prime Mover Ltd</t>
  </si>
  <si>
    <t>ORD-0005</t>
  </si>
  <si>
    <t>FreshLink Partners</t>
  </si>
  <si>
    <t>WH-A</t>
  </si>
  <si>
    <t>ORD-0006</t>
  </si>
  <si>
    <t>AgriFlow Distributors</t>
  </si>
  <si>
    <t>$9.51</t>
  </si>
  <si>
    <t>ORD-0007</t>
  </si>
  <si>
    <t>ORD-0008</t>
  </si>
  <si>
    <t>NovaCold Logistics</t>
  </si>
  <si>
    <t>Beverages</t>
  </si>
  <si>
    <t>ORD-0009</t>
  </si>
  <si>
    <t>BlueStar Wholesale</t>
  </si>
  <si>
    <t>ORD-0010</t>
  </si>
  <si>
    <t>WH-E</t>
  </si>
  <si>
    <t>ORD-0011</t>
  </si>
  <si>
    <t>SwiftChain Inc</t>
  </si>
  <si>
    <t>Frozen</t>
  </si>
  <si>
    <t>ORD-0012</t>
  </si>
  <si>
    <t>ORD-0013</t>
  </si>
  <si>
    <t>ORD-0014</t>
  </si>
  <si>
    <t>ORD-0015</t>
  </si>
  <si>
    <t>ORD-0016</t>
  </si>
  <si>
    <t>ORD-0017</t>
  </si>
  <si>
    <t>Produce</t>
  </si>
  <si>
    <t>ORD-0018</t>
  </si>
  <si>
    <t>PrimeMover Ltd</t>
  </si>
  <si>
    <t>ORD-0019</t>
  </si>
  <si>
    <t>GreenField Foods</t>
  </si>
  <si>
    <t>ORD-0020</t>
  </si>
  <si>
    <t>ORD-0021</t>
  </si>
  <si>
    <t>ORD-0022</t>
  </si>
  <si>
    <t>Rapid Supply Co</t>
  </si>
  <si>
    <t>ORD-0023</t>
  </si>
  <si>
    <t>ORD-0024</t>
  </si>
  <si>
    <t>$5.05</t>
  </si>
  <si>
    <t>ORD-0025</t>
  </si>
  <si>
    <t>ORD-0026</t>
  </si>
  <si>
    <t>primemover ltd</t>
  </si>
  <si>
    <t>ORD-0027</t>
  </si>
  <si>
    <t>ORD-0028</t>
  </si>
  <si>
    <t>ORD-0029</t>
  </si>
  <si>
    <t>ORD-0030</t>
  </si>
  <si>
    <t>ORD-0031</t>
  </si>
  <si>
    <t>ORD-0032</t>
  </si>
  <si>
    <t>ORD-0033</t>
  </si>
  <si>
    <t>ORD-0034</t>
  </si>
  <si>
    <t>ORD-0035</t>
  </si>
  <si>
    <t>08/29/2023</t>
  </si>
  <si>
    <t>ORD-0036</t>
  </si>
  <si>
    <t>ORD-0037</t>
  </si>
  <si>
    <t>ORD-0038</t>
  </si>
  <si>
    <t>ORD-0039</t>
  </si>
  <si>
    <t>ORD-0040</t>
  </si>
  <si>
    <t>ORD-0041</t>
  </si>
  <si>
    <t>Rapid supply co</t>
  </si>
  <si>
    <t>ORD-0042</t>
  </si>
  <si>
    <t>ORD-0043</t>
  </si>
  <si>
    <t>ORD-0044</t>
  </si>
  <si>
    <t>ORD-0045</t>
  </si>
  <si>
    <t>ORD-0046</t>
  </si>
  <si>
    <t>ORD-0047</t>
  </si>
  <si>
    <t>ORD-0048</t>
  </si>
  <si>
    <t>ORD-0049</t>
  </si>
  <si>
    <t>ORD-0050</t>
  </si>
  <si>
    <t>ORD-0051</t>
  </si>
  <si>
    <t>ORD-0052</t>
  </si>
  <si>
    <t>ORD-0053</t>
  </si>
  <si>
    <t>ORD-0054</t>
  </si>
  <si>
    <t>ORD-0055</t>
  </si>
  <si>
    <t>ORD-0056</t>
  </si>
  <si>
    <t>PrimeMover Ltd.</t>
  </si>
  <si>
    <t>ORD-0057</t>
  </si>
  <si>
    <t>ORD-0058</t>
  </si>
  <si>
    <t>ORD-0059</t>
  </si>
  <si>
    <t>ORD-0060</t>
  </si>
  <si>
    <t>ORD-0061</t>
  </si>
  <si>
    <t>Blue Star Wholesale</t>
  </si>
  <si>
    <t>$7.96</t>
  </si>
  <si>
    <t>ORD-0062</t>
  </si>
  <si>
    <t>ORD-0063</t>
  </si>
  <si>
    <t>ORD-0064</t>
  </si>
  <si>
    <t>ORD-0065</t>
  </si>
  <si>
    <t>ORD-0066</t>
  </si>
  <si>
    <t>ORD-0067</t>
  </si>
  <si>
    <t>ORD-0068</t>
  </si>
  <si>
    <t>Bluestar Wholesale</t>
  </si>
  <si>
    <t>ORD-0069</t>
  </si>
  <si>
    <t>ORD-0070</t>
  </si>
  <si>
    <t>ORD-0071</t>
  </si>
  <si>
    <t>ORD-0072</t>
  </si>
  <si>
    <t>ORD-0073</t>
  </si>
  <si>
    <t>ORD-0074</t>
  </si>
  <si>
    <t>ORD-0075</t>
  </si>
  <si>
    <t>SWIFTCHAIN INC</t>
  </si>
  <si>
    <t>ORD-0077</t>
  </si>
  <si>
    <t>ORD-0078</t>
  </si>
  <si>
    <t>ORD-0079</t>
  </si>
  <si>
    <t>ORD-0080</t>
  </si>
  <si>
    <t>ORD-0081</t>
  </si>
  <si>
    <t>ORD-0082</t>
  </si>
  <si>
    <t>ORD-0083</t>
  </si>
  <si>
    <t>ORD-0084</t>
  </si>
  <si>
    <t>Freshlink Partners</t>
  </si>
  <si>
    <t>ORD-0085</t>
  </si>
  <si>
    <t>ORD-0086</t>
  </si>
  <si>
    <t>ORD-0087</t>
  </si>
  <si>
    <t>ORD-0088</t>
  </si>
  <si>
    <t>Swiftchain Inc</t>
  </si>
  <si>
    <t>ORD-0089</t>
  </si>
  <si>
    <t>ORD-0090</t>
  </si>
  <si>
    <t>ORD-0091</t>
  </si>
  <si>
    <t>ORD-0092</t>
  </si>
  <si>
    <t>ORD-0093</t>
  </si>
  <si>
    <t>ORD-0094</t>
  </si>
  <si>
    <t>ORD-0095</t>
  </si>
  <si>
    <t>Swift Chain Inc</t>
  </si>
  <si>
    <t>ORD-0096</t>
  </si>
  <si>
    <t>ORD-0097</t>
  </si>
  <si>
    <t>ORD-0098</t>
  </si>
  <si>
    <t>ORD-0099</t>
  </si>
  <si>
    <t>ORD-0100</t>
  </si>
  <si>
    <t>ORD-0101</t>
  </si>
  <si>
    <t>ORD-0102</t>
  </si>
  <si>
    <t>ORD-0103</t>
  </si>
  <si>
    <t>ORD-0104</t>
  </si>
  <si>
    <t>ORD-0105</t>
  </si>
  <si>
    <t>ORD-0106</t>
  </si>
  <si>
    <t>07/05/2023</t>
  </si>
  <si>
    <t>ORD-0107</t>
  </si>
  <si>
    <t>$21.88</t>
  </si>
  <si>
    <t>ORD-0108</t>
  </si>
  <si>
    <t>ORD-0109</t>
  </si>
  <si>
    <t>$23.81</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</si>
  <si>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</si>
  <si>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</si>
  <si>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</si>
  <si>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</si>
  <si>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</si>
  <si>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</si>
  <si>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</si>
  <si>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</si>
  <si>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</si>
  <si>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</si>
  <si>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</si>
  <si>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</si>
  <si>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</si>
  <si>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</si>
  <si>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</si>
  <si>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</si>
  <si>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</si>
  <si>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</si>
  <si>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</si>
  <si>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</si>
  <si>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</si>
  <si>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</si>
  <si>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</si>
  <si>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</si>
  <si>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07/12/2023</t>
  </si>
  <si>
    <t>ORD-0134</t>
  </si>
  <si>
    <t>ORD-0135</t>
  </si>
  <si>
    <t>ORD-0136</t>
  </si>
  <si>
    <t>ORD-0137</t>
  </si>
  <si>
    <t>ORD-0138</t>
  </si>
  <si>
    <t>ORD-0139</t>
  </si>
  <si>
    <t>ORD-0140</t>
  </si>
  <si>
    <t>ORD-0141</t>
  </si>
  <si>
    <t>ORD-0142</t>
  </si>
  <si>
    <t>ORD-0143</t>
  </si>
  <si>
    <t>ORD-0144</t>
  </si>
  <si>
    <t>ORD-0145</t>
  </si>
  <si>
    <t>ORD-0146</t>
  </si>
  <si>
    <t>ORD-0147</t>
  </si>
  <si>
    <t>03/10/2023</t>
  </si>
  <si>
    <t>RAPID SUPPLY CO</t>
  </si>
  <si>
    <t>ORD-0149</t>
  </si>
  <si>
    <t>ORD-0150</t>
  </si>
  <si>
    <t>ORD-0151</t>
  </si>
  <si>
    <t>ORD-0152</t>
  </si>
  <si>
    <t>ORD-0153</t>
  </si>
  <si>
    <t>NOVACOLD LOGISTICS</t>
  </si>
  <si>
    <t>ORD-0154</t>
  </si>
  <si>
    <t>ORD-0155</t>
  </si>
  <si>
    <t>ORD-0156</t>
  </si>
  <si>
    <t>09/13/2023</t>
  </si>
  <si>
    <t>ORD-0157</t>
  </si>
  <si>
    <t>ORD-0158</t>
  </si>
  <si>
    <t>AGRIFLOW DISTRIBUTORS</t>
  </si>
  <si>
    <t>ORD-0159</t>
  </si>
  <si>
    <t>Fresh Link Partners</t>
  </si>
  <si>
    <t>ORD-0160</t>
  </si>
  <si>
    <t>02/03/2023</t>
  </si>
  <si>
    <t>ORD-0161</t>
  </si>
  <si>
    <t>ORD-0162</t>
  </si>
  <si>
    <t>ORD-0163</t>
  </si>
  <si>
    <t>ORD-0164</t>
  </si>
  <si>
    <t>ORD-0165</t>
  </si>
  <si>
    <t>ORD-0166</t>
  </si>
  <si>
    <t>ORD-0167</t>
  </si>
  <si>
    <t>ORD-0168</t>
  </si>
  <si>
    <t>ORD-0169</t>
  </si>
  <si>
    <t>ORD-0170</t>
  </si>
  <si>
    <t>ORD-0171</t>
  </si>
  <si>
    <t>$12.23</t>
  </si>
  <si>
    <t>ORD-0172</t>
  </si>
  <si>
    <t>ORD-0173</t>
  </si>
  <si>
    <t>ORD-0174</t>
  </si>
  <si>
    <t>ORD-0175</t>
  </si>
  <si>
    <t>ORD-0176</t>
  </si>
  <si>
    <t>ORD-0177</t>
  </si>
  <si>
    <t>ORD-0178</t>
  </si>
  <si>
    <t>ORD-0179</t>
  </si>
  <si>
    <t>ORD-0180</t>
  </si>
  <si>
    <t>$7.30</t>
  </si>
  <si>
    <t>ORD-0181</t>
  </si>
  <si>
    <t>ORD-0182</t>
  </si>
  <si>
    <t>ORD-0183</t>
  </si>
  <si>
    <t>ORD-0184</t>
  </si>
  <si>
    <t>ORD-0185</t>
  </si>
  <si>
    <t>ORD-0186</t>
  </si>
  <si>
    <t>ORD-0187</t>
  </si>
  <si>
    <t>ORD-0188</t>
  </si>
  <si>
    <t>ORD-0189</t>
  </si>
  <si>
    <t>ORD-0190</t>
  </si>
  <si>
    <t>ORD-0191</t>
  </si>
  <si>
    <t>ORD-0192</t>
  </si>
  <si>
    <t>ORD-0193</t>
  </si>
  <si>
    <t>ORD-0194</t>
  </si>
  <si>
    <t>ORD-0195</t>
  </si>
  <si>
    <t>ORD-0196</t>
  </si>
  <si>
    <t>ORD-0198</t>
  </si>
  <si>
    <t>ORD-0199</t>
  </si>
  <si>
    <t>ORD-0201</t>
  </si>
  <si>
    <t>ORD-0202</t>
  </si>
  <si>
    <t>ORD-0203</t>
  </si>
  <si>
    <t>ORD-0204</t>
  </si>
  <si>
    <t>ORD-0205</t>
  </si>
  <si>
    <t>ORD-0207</t>
  </si>
  <si>
    <t>ORD-0208</t>
  </si>
  <si>
    <t>ORD-0209</t>
  </si>
  <si>
    <t>ORD-0210</t>
  </si>
  <si>
    <t>ORD-0211</t>
  </si>
  <si>
    <t>ORD-0212</t>
  </si>
  <si>
    <t>$20.83</t>
  </si>
  <si>
    <t>ORD-0213</t>
  </si>
  <si>
    <t>$14.35</t>
  </si>
  <si>
    <t>ORD-0214</t>
  </si>
  <si>
    <t>ORD-0215</t>
  </si>
  <si>
    <t>ORD-0216</t>
  </si>
  <si>
    <t>ORD-0217</t>
  </si>
  <si>
    <t>ORD-0218</t>
  </si>
  <si>
    <t>ORD-0219</t>
  </si>
  <si>
    <t>ORD-0220</t>
  </si>
  <si>
    <t>ORD-0221</t>
  </si>
  <si>
    <t>ORD-0222</t>
  </si>
  <si>
    <t>ORD-0223</t>
  </si>
  <si>
    <t>ORD-0224</t>
  </si>
  <si>
    <t>ORD-0225</t>
  </si>
  <si>
    <t>ORD-0226</t>
  </si>
  <si>
    <t>ORD-0227</t>
  </si>
  <si>
    <t>greenfield foods</t>
  </si>
  <si>
    <t>ORD-0228</t>
  </si>
  <si>
    <t>ORD-0229</t>
  </si>
  <si>
    <t>ORD-0230</t>
  </si>
  <si>
    <t>ORD-0231</t>
  </si>
  <si>
    <t>ORD-0232</t>
  </si>
  <si>
    <t>ORD-0233</t>
  </si>
  <si>
    <t>ORD-0234</t>
  </si>
  <si>
    <t>ORD-0235</t>
  </si>
  <si>
    <t>ORD-0236</t>
  </si>
  <si>
    <t>ORD-0237</t>
  </si>
  <si>
    <t>ORD-0238</t>
  </si>
  <si>
    <t>ORD-0239</t>
  </si>
  <si>
    <t>$13.66</t>
  </si>
  <si>
    <t>ORD-0240</t>
  </si>
  <si>
    <t>ORD-0241</t>
  </si>
  <si>
    <t>ORD-0242</t>
  </si>
  <si>
    <t>ORD-0243</t>
  </si>
  <si>
    <t>ORD-0244</t>
  </si>
  <si>
    <t>ORD-0245</t>
  </si>
  <si>
    <t>ORD-0246</t>
  </si>
  <si>
    <t>ORD-0247</t>
  </si>
  <si>
    <t>ORD-0248</t>
  </si>
  <si>
    <t>ORD-0249</t>
  </si>
  <si>
    <t>ORD-0250</t>
  </si>
  <si>
    <t>ORD-0251</t>
  </si>
  <si>
    <t>ORD-0252</t>
  </si>
  <si>
    <t>ORD-0253</t>
  </si>
  <si>
    <t>ORD-0255</t>
  </si>
  <si>
    <t>ORD-0256</t>
  </si>
  <si>
    <t>ORD-0257</t>
  </si>
  <si>
    <t>ORD-0258</t>
  </si>
  <si>
    <t>ORD-0259</t>
  </si>
  <si>
    <t>ORD-0260</t>
  </si>
  <si>
    <t>ORD-0261</t>
  </si>
  <si>
    <t>ORD-0262</t>
  </si>
  <si>
    <t>01/24/2023</t>
  </si>
  <si>
    <t>ORD-0263</t>
  </si>
  <si>
    <t>ORD-0264</t>
  </si>
  <si>
    <t>ORD-0265</t>
  </si>
  <si>
    <t>ORD-0266</t>
  </si>
  <si>
    <t>ORD-0267</t>
  </si>
  <si>
    <t>ORD-0268</t>
  </si>
  <si>
    <t>ORD-0269</t>
  </si>
  <si>
    <t>ORD-0270</t>
  </si>
  <si>
    <t>ORD-0271</t>
  </si>
  <si>
    <t>ORD-0272</t>
  </si>
  <si>
    <t>ORD-0273</t>
  </si>
  <si>
    <t>ORD-0274</t>
  </si>
  <si>
    <t>ORD-0275</t>
  </si>
  <si>
    <t>ORD-0277</t>
  </si>
  <si>
    <t>ORD-0278</t>
  </si>
  <si>
    <t>ORD-0279</t>
  </si>
  <si>
    <t>ORD-0280</t>
  </si>
  <si>
    <t>ORD-0281</t>
  </si>
  <si>
    <t>ORD-0282</t>
  </si>
  <si>
    <t>ORD-0283</t>
  </si>
  <si>
    <t>ORD-0284</t>
  </si>
  <si>
    <t>ORD-0285</t>
  </si>
  <si>
    <t>10/05/2023</t>
  </si>
  <si>
    <t>ORD-0286</t>
  </si>
  <si>
    <t>$12.67</t>
  </si>
  <si>
    <t>ORD-0288</t>
  </si>
  <si>
    <t>ORD-0289</t>
  </si>
  <si>
    <t>ORD-0290</t>
  </si>
  <si>
    <t>ORD-0291</t>
  </si>
  <si>
    <t>ORD-0292</t>
  </si>
  <si>
    <t>ORD-0293</t>
  </si>
  <si>
    <t>ORD-0294</t>
  </si>
  <si>
    <t>ORD-0295</t>
  </si>
  <si>
    <t>ORD-0296</t>
  </si>
  <si>
    <t>ORD-0297</t>
  </si>
  <si>
    <t>ORD-0298</t>
  </si>
  <si>
    <t>ORD-0299</t>
  </si>
  <si>
    <t>ORD-0300</t>
  </si>
  <si>
    <t>ORD-0301</t>
  </si>
  <si>
    <t>ORD-0302</t>
  </si>
  <si>
    <t>ORD-0303</t>
  </si>
  <si>
    <t>ORD-0304</t>
  </si>
  <si>
    <t>ORD-0305</t>
  </si>
  <si>
    <t>ORD-0306</t>
  </si>
  <si>
    <t>ORD-0307</t>
  </si>
  <si>
    <t>ORD-0308</t>
  </si>
  <si>
    <t>ORD-0309</t>
  </si>
  <si>
    <t>ORD-0310</t>
  </si>
  <si>
    <t>ORD-0311</t>
  </si>
  <si>
    <t>ORD-0312</t>
  </si>
  <si>
    <t>Rapid Supply Co.</t>
  </si>
  <si>
    <t>ORD-0313</t>
  </si>
  <si>
    <t>ORD-0314</t>
  </si>
  <si>
    <t>ORD-0316</t>
  </si>
  <si>
    <t>$22.77</t>
  </si>
  <si>
    <t>ORD-0317</t>
  </si>
  <si>
    <t>ORD-0318</t>
  </si>
  <si>
    <t>ORD-0319</t>
  </si>
  <si>
    <t>ORD-0320</t>
  </si>
  <si>
    <t>ORD-0321</t>
  </si>
  <si>
    <t>$10.67</t>
  </si>
  <si>
    <t>ORD-0322</t>
  </si>
  <si>
    <t>ORD-0323</t>
  </si>
  <si>
    <t>ORD-0324</t>
  </si>
  <si>
    <t>ORD-0325</t>
  </si>
  <si>
    <t>ORD-0326</t>
  </si>
  <si>
    <t>ORD-0327</t>
  </si>
  <si>
    <t>$10.81</t>
  </si>
  <si>
    <t>ORD-0328</t>
  </si>
  <si>
    <t>$6.56</t>
  </si>
  <si>
    <t>ORD-0329</t>
  </si>
  <si>
    <t>ORD-0330</t>
  </si>
  <si>
    <t>ORD-0331</t>
  </si>
  <si>
    <t>ORD-0332</t>
  </si>
  <si>
    <t>ORD-0333</t>
  </si>
  <si>
    <t>ORD-0334</t>
  </si>
  <si>
    <t>ORD-0335</t>
  </si>
  <si>
    <t>ORD-0336</t>
  </si>
  <si>
    <t>ORD-0337</t>
  </si>
  <si>
    <t>ORD-0338</t>
  </si>
  <si>
    <t>ORD-0339</t>
  </si>
  <si>
    <t>ORD-0340</t>
  </si>
  <si>
    <t>ORD-0341</t>
  </si>
  <si>
    <t>ORD-0342</t>
  </si>
  <si>
    <t>ORD-0343</t>
  </si>
  <si>
    <t>ORD-0344</t>
  </si>
  <si>
    <t>ORD-0345</t>
  </si>
  <si>
    <t>ORD-0346</t>
  </si>
  <si>
    <t>ORD-0347</t>
  </si>
  <si>
    <t>ORD-0348</t>
  </si>
  <si>
    <t>ORD-0349</t>
  </si>
  <si>
    <t>ORD-0350</t>
  </si>
  <si>
    <t>ORD-0351</t>
  </si>
  <si>
    <t>ORD-0352</t>
  </si>
  <si>
    <t>ORD-0353</t>
  </si>
  <si>
    <t>ORD-0354</t>
  </si>
  <si>
    <t>ORD-0355</t>
  </si>
  <si>
    <t>ORD-0356</t>
  </si>
  <si>
    <t>ORD-0357</t>
  </si>
  <si>
    <t>ORD-0358</t>
  </si>
  <si>
    <t>ORD-0359</t>
  </si>
  <si>
    <t>12/19/2023</t>
  </si>
  <si>
    <t>ORD-0360</t>
  </si>
  <si>
    <t>ORD-0361</t>
  </si>
  <si>
    <t>ORD-0362</t>
  </si>
  <si>
    <t>ORD-0363</t>
  </si>
  <si>
    <t>ORD-0364</t>
  </si>
  <si>
    <t>ORD-0365</t>
  </si>
  <si>
    <t>ORD-0366</t>
  </si>
  <si>
    <t>ORD-0367</t>
  </si>
  <si>
    <t>ORD-0368</t>
  </si>
  <si>
    <t>ORD-0369</t>
  </si>
  <si>
    <t>ORD-0370</t>
  </si>
  <si>
    <t>ORD-0371</t>
  </si>
  <si>
    <t>ORD-0372</t>
  </si>
  <si>
    <t>ORD-0374</t>
  </si>
  <si>
    <t>ORD-0375</t>
  </si>
  <si>
    <t>ORD-0376</t>
  </si>
  <si>
    <t>ORD-0377</t>
  </si>
  <si>
    <t>ORD-0378</t>
  </si>
  <si>
    <t>$5.38</t>
  </si>
  <si>
    <t>ORD-0379</t>
  </si>
  <si>
    <t>ORD-0380</t>
  </si>
  <si>
    <t>ORD-0381</t>
  </si>
  <si>
    <t>ORD-0382</t>
  </si>
  <si>
    <t>ORD-0383</t>
  </si>
  <si>
    <t>ORD-0384</t>
  </si>
  <si>
    <t>ORD-0385</t>
  </si>
  <si>
    <t>ORD-0386</t>
  </si>
  <si>
    <t>ORD-0387</t>
  </si>
  <si>
    <t>ORD-0388</t>
  </si>
  <si>
    <t>ORD-0389</t>
  </si>
  <si>
    <t>ORD-0390</t>
  </si>
  <si>
    <t>ORD-0391</t>
  </si>
  <si>
    <t>ORD-0392</t>
  </si>
  <si>
    <t>ORD-0393</t>
  </si>
  <si>
    <t>ORD-0394</t>
  </si>
  <si>
    <t>ORD-0395</t>
  </si>
  <si>
    <t>ORD-0396</t>
  </si>
  <si>
    <t>ORD-0397</t>
  </si>
  <si>
    <t>ORD-0398</t>
  </si>
  <si>
    <t>ORD-0399</t>
  </si>
  <si>
    <t>ORD-0400</t>
  </si>
  <si>
    <t>ORD-0401</t>
  </si>
  <si>
    <t>ORD-0402</t>
  </si>
  <si>
    <t>ORD-0403</t>
  </si>
  <si>
    <t>ORD-0404</t>
  </si>
  <si>
    <t>ORD-0405</t>
  </si>
  <si>
    <t>ORD-0406</t>
  </si>
  <si>
    <t>ORD-0407</t>
  </si>
  <si>
    <t>ORD-0408</t>
  </si>
  <si>
    <t>$15.58</t>
  </si>
  <si>
    <t>ORD-0409</t>
  </si>
  <si>
    <t>ORD-0410</t>
  </si>
  <si>
    <t>$8.68</t>
  </si>
  <si>
    <t>ORD-0411</t>
  </si>
  <si>
    <t>12/04/2023</t>
  </si>
  <si>
    <t>ORD-0412</t>
  </si>
  <si>
    <t>ORD-0413</t>
  </si>
  <si>
    <t>$4.83</t>
  </si>
  <si>
    <t>ORD-0414</t>
  </si>
  <si>
    <t>ORD-0415</t>
  </si>
  <si>
    <t>ORD-0416</t>
  </si>
  <si>
    <t>ORD-0417</t>
  </si>
  <si>
    <t>ORD-0418</t>
  </si>
  <si>
    <t>ORD-0419</t>
  </si>
  <si>
    <t>ORD-0420</t>
  </si>
  <si>
    <t>ORD-0421</t>
  </si>
  <si>
    <t>ORD-0422</t>
  </si>
  <si>
    <t>ORD-0423</t>
  </si>
  <si>
    <t>ORD-0424</t>
  </si>
  <si>
    <t>ORD-0425</t>
  </si>
  <si>
    <t>ORD-0426</t>
  </si>
  <si>
    <t>ORD-0427</t>
  </si>
  <si>
    <t>ORD-0428</t>
  </si>
  <si>
    <t>ORD-0429</t>
  </si>
  <si>
    <t>ORD-0430</t>
  </si>
  <si>
    <t>Agriflow Distributors</t>
  </si>
  <si>
    <t>ORD-0431</t>
  </si>
  <si>
    <t>ORD-0432</t>
  </si>
  <si>
    <t>ORD-0433</t>
  </si>
  <si>
    <t>ORD-0434</t>
  </si>
  <si>
    <t>ORD-0435</t>
  </si>
  <si>
    <t>$11.18</t>
  </si>
  <si>
    <t>ORD-0436</t>
  </si>
  <si>
    <t>ORD-0437</t>
  </si>
  <si>
    <t>ORD-0438</t>
  </si>
  <si>
    <t>ORD-0439</t>
  </si>
  <si>
    <t>ORD-0440</t>
  </si>
  <si>
    <t>ORD-0441</t>
  </si>
  <si>
    <t>ORD-0443</t>
  </si>
  <si>
    <t>ORD-0444</t>
  </si>
  <si>
    <t>ORD-0445</t>
  </si>
  <si>
    <t>ORD-0446</t>
  </si>
  <si>
    <t>ORD-0448</t>
  </si>
  <si>
    <t>ORD-0449</t>
  </si>
  <si>
    <t>ORD-0450</t>
  </si>
  <si>
    <t>ORD-0451</t>
  </si>
  <si>
    <t>ORD-0452</t>
  </si>
  <si>
    <t>novacold logistics</t>
  </si>
  <si>
    <t>ORD-0453</t>
  </si>
  <si>
    <t>ORD-0454</t>
  </si>
  <si>
    <t>ORD-0455</t>
  </si>
  <si>
    <t>ORD-0456</t>
  </si>
  <si>
    <t>ORD-0457</t>
  </si>
  <si>
    <t>ORD-0458</t>
  </si>
  <si>
    <t>ORD-0459</t>
  </si>
  <si>
    <t>ORD-0460</t>
  </si>
  <si>
    <t>ORD-0461</t>
  </si>
  <si>
    <t>ORD-0462</t>
  </si>
  <si>
    <t>ORD-0463</t>
  </si>
  <si>
    <t>ORD-0464</t>
  </si>
  <si>
    <t>ORD-0465</t>
  </si>
  <si>
    <t>ORD-0466</t>
  </si>
  <si>
    <t>ORD-0467</t>
  </si>
  <si>
    <t>ORD-0468</t>
  </si>
  <si>
    <t>ORD-0469</t>
  </si>
  <si>
    <t>ORD-0470</t>
  </si>
  <si>
    <t>ORD-0471</t>
  </si>
  <si>
    <t>ORD-0472</t>
  </si>
  <si>
    <t>ORD-0473</t>
  </si>
  <si>
    <t>ORD-0474</t>
  </si>
  <si>
    <t>ORD-0475</t>
  </si>
  <si>
    <t>ORD-0476</t>
  </si>
  <si>
    <t>ORD-0477</t>
  </si>
  <si>
    <t>ORD-0478</t>
  </si>
  <si>
    <t>ORD-0479</t>
  </si>
  <si>
    <t>ORD-0480</t>
  </si>
  <si>
    <t>ORD-0481</t>
  </si>
  <si>
    <t>ORD-0482</t>
  </si>
  <si>
    <t>ORD-0483</t>
  </si>
  <si>
    <t>ORD-0484</t>
  </si>
  <si>
    <t>ORD-0485</t>
  </si>
  <si>
    <t>ORD-0486</t>
  </si>
  <si>
    <t>ORD-0487</t>
  </si>
  <si>
    <t>ORD-0488</t>
  </si>
  <si>
    <t>ORD-0489</t>
  </si>
  <si>
    <t>ORD-0490</t>
  </si>
  <si>
    <t>ORD-0491</t>
  </si>
  <si>
    <t>ORD-0492</t>
  </si>
  <si>
    <t>ORD-0493</t>
  </si>
  <si>
    <t>ORD-0494</t>
  </si>
  <si>
    <t>ORD-0495</t>
  </si>
  <si>
    <t>ORD-0496</t>
  </si>
  <si>
    <t>ORD-0497</t>
  </si>
  <si>
    <t>ORD-0498</t>
  </si>
  <si>
    <t>ORD-0499</t>
  </si>
  <si>
    <t>ORD-0500</t>
  </si>
  <si>
    <t>GREENFIELD FOODS</t>
  </si>
  <si>
    <t>BLUE STAR WHOLESALE</t>
  </si>
  <si>
    <t>SWIFT CHAIN INC</t>
  </si>
  <si>
    <t>FRESH LINK PARTNERS</t>
  </si>
  <si>
    <t>DAIRY</t>
  </si>
  <si>
    <t>BAKERY</t>
  </si>
  <si>
    <t>BEVERAGES</t>
  </si>
  <si>
    <t>FROZEN</t>
  </si>
  <si>
    <t>PRODUCE</t>
  </si>
  <si>
    <t xml:space="preserve">NOVA COLD LOGISTICS </t>
  </si>
  <si>
    <t>PRIME REMOVAL LTD.</t>
  </si>
  <si>
    <t>Delivery_Days</t>
  </si>
  <si>
    <t>Data Error</t>
  </si>
  <si>
    <t>On_Time_Flag</t>
  </si>
  <si>
    <t xml:space="preserve">Not Applicable </t>
  </si>
  <si>
    <t>References</t>
  </si>
  <si>
    <t xml:space="preserve">Formula </t>
  </si>
  <si>
    <t xml:space="preserve">Target </t>
  </si>
  <si>
    <t>On-Time Delivery Rate (OTD%)</t>
  </si>
  <si>
    <t>On time deliveries / total order * 100,  Countif(On_time_flag, "On Time")/Count(Column A)</t>
  </si>
  <si>
    <t>Order Fill Rate</t>
  </si>
  <si>
    <t xml:space="preserve">Inventory Turnover </t>
  </si>
  <si>
    <t>Days of Stock (DOS)</t>
  </si>
  <si>
    <t>Total orders placed/ total orders shipped * 100, Sum (Units_Shipped / Sum (Units_Ordered)</t>
  </si>
  <si>
    <t xml:space="preserve">Explanation </t>
  </si>
  <si>
    <t xml:space="preserve">Percentage of orders reaching customers on time </t>
  </si>
  <si>
    <t xml:space="preserve">Percentage of customer orders that were completed  </t>
  </si>
  <si>
    <t xml:space="preserve">Order Fill Rate </t>
  </si>
  <si>
    <t>An efficiency metric that measures how many times a company's inventory is sold and replaced over a specific period</t>
  </si>
  <si>
    <t>Total_COGS/ Average_Inventory_Value</t>
  </si>
  <si>
    <t>8-12 times</t>
  </si>
  <si>
    <t xml:space="preserve">365/Inventory_Turnover </t>
  </si>
  <si>
    <t>30-45 days</t>
  </si>
  <si>
    <t>How many days of supply currently on hand</t>
  </si>
  <si>
    <t>Days of Stock (DOS) [In days]</t>
  </si>
  <si>
    <t>Above Target</t>
  </si>
  <si>
    <t>Row Labels</t>
  </si>
  <si>
    <t>Grand Total</t>
  </si>
  <si>
    <t>Column Labels</t>
  </si>
  <si>
    <t>Late</t>
  </si>
  <si>
    <t>On Time</t>
  </si>
  <si>
    <t>Count of Order_ID</t>
  </si>
  <si>
    <t>Sum of Units_Shipped</t>
  </si>
  <si>
    <t>Average of Unit_Revenue</t>
  </si>
  <si>
    <t>Average of COGS_Per_Unit</t>
  </si>
  <si>
    <t>FreshCart Supply Chain Performance Dashboard</t>
  </si>
  <si>
    <t>Analysis Period: January 2023 – December 2023 | Prepared by: Saffan Nagani</t>
  </si>
  <si>
    <t>On-Time Delivery Rate</t>
  </si>
  <si>
    <t>Inventory Turnover</t>
  </si>
  <si>
    <t xml:space="preserve">Days of Stock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</si>
</sst>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quot;$&quot;#,##0.00"/>
  </numFmts>
  <fonts count="15" x14ac:knownFonts="1">
    <font>
      <sz val="11"/>
      <color theme="1"/>
      <name val="Calibri"/>
      <family val="2"/>
      <scheme val="minor"/>
    </font>
    <font>
      <b/>
      <sz val="10"/>
      <color rgb="FFFFFFFF"/>
      <name val="Arial"/>
    </font>
    <font>
      <sz val="9"/>
      <name val="Arial"/>
    </font>
    <font>
      <b/>
      <sz val="11"/>
      <color theme="1"/>
      <name val="Calibri"/>
      <family val="2"/>
      <scheme val="minor"/>
    </font>
    <font>
      <b/>
      <sz val="11"/>
      <color theme="0"/>
      <name val="Calibri"/>
      <family val="2"/>
      <scheme val="minor"/>
    </font>
    <font>
      <sz val="11"/>
      <color rgb="FFFF0000"/>
      <name val="Calibri"/>
      <family val="2"/>
      <scheme val="minor"/>
    </font>
    <font>
      <sz val="11"/>
      <color rgb="FF00B050"/>
      <name val="Calibri"/>
      <family val="2"/>
      <scheme val="minor"/>
    </font>
    <font>
      <b/>
      <sz val="20"/>
      <color rgb="FF1F6B5A"/>
      <name val="Calibri"/>
      <family val="2"/>
      <scheme val="minor"/>
    </font>
    <font>
      <sz val="11"/>
      <color theme="2" tint="-0.749992370372631"/>
      <name val="Calibri"/>
      <family val="2"/>
      <scheme val="minor"/>
    </font>
    <font>
      <sz val="20"/>
      <color rgb="FF92D050"/>
      <name val="Calibri"/>
      <family val="2"/>
      <scheme val="minor"/>
    </font>
    <font>
      <sz val="16"/>
      <color rgb="FFFF0000"/>
      <name val="Calibri"/>
      <family val="2"/>
      <scheme val="minor"/>
    </font>
    <font>
      <sz val="14"/>
      <color rgb="FFFF0000"/>
      <name val="Calibri"/>
      <family val="2"/>
      <scheme val="minor"/>
    </font>
    <font>
      <sz val="14"/>
      <color rgb="FF92D050"/>
      <name val="Calibri"/>
      <family val="2"/>
      <scheme val="minor"/>
    </font>
    <font>
      <sz val="12"/>
      <color rgb="FFFF0000"/>
      <name val="Calibri"/>
      <family val="2"/>
      <scheme val="minor"/>
    </font>
    <font>
      <sz val="12"/>
      <color rgb="FF00B050"/>
      <name val="Calibri"/>
      <family val="2"/>
      <scheme val="minor"/>
    </font>
  </fonts>
  <fills count="9">
    <fill>
      <patternFill patternType="none"/>
    </fill>
    <fill>
      <patternFill patternType="gray125"/>
    </fill>
    <fill>
      <patternFill patternType="solid">
        <fgColor rgb="FF0C3B6E"/>
      </patternFill>
    </fill>
    <fill>
      <patternFill patternType="solid">
        <fgColor rgb="FFEAF3DE"/>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rgb="FFFF0000"/>
        <bgColor theme="4" tint="0.59999389629810485"/>
      </patternFill>
    </fill>
    <fill>
      <patternFill patternType="solid">
        <fgColor rgb="FFFF0000"/>
        <bgColor theme="4" tint="0.79998168889431442"/>
      </patternFill>
    </fill>
  </fills>
  <borders count="10">
    <border>
      <left/>
      <right/>
      <top/>
      <bottom/>
      <diagonal/>
    </border>
    <border>
      <left/>
      <right/>
      <top style="thin">
        <color indexed="64"/>
      </top>
      <bottom/>
      <diagonal/>
    </border>
    <border>
      <left style="thin">
        <color indexed="64"/>
      </left>
      <right/>
      <top style="thin">
        <color indexed="64"/>
      </top>
      <bottom/>
      <diagonal/>
    </border>
    <border>
      <left style="thin">
        <color theme="0"/>
      </left>
      <right/>
      <top style="thin">
        <color indexed="64"/>
      </top>
      <bottom/>
      <diagonal/>
    </border>
    <border>
      <left/>
      <right/>
      <top style="thin">
        <color theme="0"/>
      </top>
      <bottom/>
      <diagonal/>
    </border>
    <border>
      <left style="thin">
        <color theme="0"/>
      </left>
      <right/>
      <top style="thin">
        <color theme="0"/>
      </top>
      <bottom/>
      <diagonal/>
    </border>
    <border>
      <left style="thin">
        <color indexed="64"/>
      </left>
      <right/>
      <top/>
      <bottom/>
      <diagonal/>
    </border>
    <border>
      <left style="thin">
        <color theme="0"/>
      </left>
      <right/>
      <top/>
      <bottom/>
      <diagonal/>
    </border>
    <border>
      <left style="thin">
        <color theme="0"/>
      </left>
      <right/>
      <top style="thick">
        <color theme="0"/>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6">
    <xf numFmtId="0" fontId="0" fillId="0" borderId="0" xfId="0"/>
    <xf numFmtId="0" fontId="1" fillId="2" borderId="0" xfId="0" applyFont="1" applyFill="1" applyAlignment="1">
      <alignment horizontal="center" vertical="center" wrapText="1"/>
    </xf>
    <xf numFmtId="0" fontId="2" fillId="3" borderId="0" xfId="0" applyFont="1" applyFill="1"/>
    <xf numFmtId="164" fontId="2" fillId="3" borderId="0" xfId="0" applyNumberFormat="1" applyFont="1" applyFill="1"/>
    <xf numFmtId="0" fontId="2" fillId="0" borderId="0" xfId="0" applyFont="1"/>
    <xf numFmtId="164" fontId="2" fillId="0" borderId="0" xfId="0" applyNumberFormat="1" applyFont="1"/>
    <xf numFmtId="0" fontId="3" fillId="0" borderId="0" xfId="0" applyFont="1"/>
    <xf numFmtId="0" fontId="4" fillId="4" borderId="2" xfId="0" applyFont="1" applyFill="1" applyBorder="1" applyAlignment="1">
      <alignment horizontal="center"/>
    </xf>
    <xf numFmtId="0" fontId="4" fillId="4" borderId="6" xfId="0" applyFont="1" applyFill="1" applyBorder="1" applyAlignment="1">
      <alignment horizontal="center"/>
    </xf>
    <xf numFmtId="0" fontId="0" fillId="5" borderId="1" xfId="0" applyFill="1" applyBorder="1" applyAlignment="1">
      <alignment horizontal="center"/>
    </xf>
    <xf numFmtId="14" fontId="0" fillId="5" borderId="3" xfId="0" applyNumberFormat="1" applyFill="1" applyBorder="1" applyAlignment="1">
      <alignment horizontal="center"/>
    </xf>
    <xf numFmtId="0" fontId="0" fillId="5" borderId="3" xfId="0" applyFill="1" applyBorder="1" applyAlignment="1">
      <alignment horizontal="center"/>
    </xf>
    <xf numFmtId="0" fontId="0" fillId="5" borderId="8" xfId="0" applyFill="1" applyBorder="1" applyAlignment="1">
      <alignment horizontal="center"/>
    </xf>
    <xf numFmtId="0" fontId="0" fillId="6" borderId="4" xfId="0" applyFill="1" applyBorder="1" applyAlignment="1">
      <alignment horizontal="center"/>
    </xf>
    <xf numFmtId="14" fontId="0" fillId="6" borderId="5" xfId="0" applyNumberFormat="1" applyFill="1" applyBorder="1" applyAlignment="1">
      <alignment horizontal="center"/>
    </xf>
    <xf numFmtId="0" fontId="0" fillId="6" borderId="5" xfId="0" applyFill="1" applyBorder="1" applyAlignment="1">
      <alignment horizontal="center"/>
    </xf>
    <xf numFmtId="0" fontId="0" fillId="5" borderId="4" xfId="0" applyFill="1" applyBorder="1" applyAlignment="1">
      <alignment horizontal="center"/>
    </xf>
    <xf numFmtId="14" fontId="0" fillId="5" borderId="5" xfId="0" applyNumberFormat="1" applyFill="1" applyBorder="1" applyAlignment="1">
      <alignment horizontal="center"/>
    </xf>
    <xf numFmtId="0" fontId="0" fillId="5" borderId="5" xfId="0" applyFill="1" applyBorder="1" applyAlignment="1">
      <alignment horizontal="center"/>
    </xf>
    <xf numFmtId="0" fontId="0" fillId="7" borderId="5" xfId="0" applyFill="1" applyBorder="1" applyAlignment="1">
      <alignment horizontal="center"/>
    </xf>
    <xf numFmtId="0" fontId="0" fillId="8" borderId="5" xfId="0" applyFill="1" applyBorder="1" applyAlignment="1">
      <alignment horizontal="center"/>
    </xf>
    <xf numFmtId="0" fontId="4" fillId="4" borderId="7" xfId="0" applyFont="1" applyFill="1" applyBorder="1" applyAlignment="1">
      <alignment horizontal="center"/>
    </xf>
    <xf numFmtId="165" fontId="0" fillId="5" borderId="3" xfId="0" applyNumberFormat="1" applyFill="1" applyBorder="1" applyAlignment="1">
      <alignment horizontal="center"/>
    </xf>
    <xf numFmtId="165" fontId="0" fillId="6" borderId="5" xfId="0" applyNumberFormat="1" applyFill="1" applyBorder="1" applyAlignment="1">
      <alignment horizontal="center"/>
    </xf>
    <xf numFmtId="165" fontId="0" fillId="5" borderId="5" xfId="0" applyNumberFormat="1" applyFill="1" applyBorder="1" applyAlignment="1">
      <alignment horizontal="center"/>
    </xf>
    <xf numFmtId="165" fontId="0" fillId="7" borderId="5" xfId="0" applyNumberFormat="1" applyFill="1" applyBorder="1" applyAlignment="1">
      <alignment horizontal="center"/>
    </xf>
    <xf numFmtId="165" fontId="0" fillId="8" borderId="5" xfId="0" applyNumberFormat="1" applyFill="1" applyBorder="1" applyAlignment="1">
      <alignment horizontal="center"/>
    </xf>
    <xf numFmtId="0" fontId="3" fillId="0" borderId="9" xfId="0" applyFont="1" applyBorder="1" applyAlignment="1">
      <alignment horizontal="center"/>
    </xf>
    <xf numFmtId="10" fontId="0" fillId="0" borderId="9" xfId="0" applyNumberFormat="1" applyBorder="1" applyAlignment="1">
      <alignment horizontal="center"/>
    </xf>
    <xf numFmtId="0" fontId="5" fillId="0" borderId="9" xfId="0" applyFont="1" applyBorder="1" applyAlignment="1">
      <alignment horizontal="center"/>
    </xf>
    <xf numFmtId="0" fontId="0" fillId="0" borderId="9" xfId="0" applyBorder="1" applyAlignment="1">
      <alignment horizontal="center"/>
    </xf>
    <xf numFmtId="0" fontId="6" fillId="0" borderId="9" xfId="0" applyFont="1" applyBorder="1" applyAlignment="1">
      <alignment horizontal="center"/>
    </xf>
    <xf numFmtId="2" fontId="0" fillId="0" borderId="9" xfId="0" applyNumberFormat="1" applyBorder="1" applyAlignment="1">
      <alignment horizontal="center"/>
    </xf>
    <xf numFmtId="1" fontId="0" fillId="0" borderId="9" xfId="0" applyNumberFormat="1" applyBorder="1" applyAlignment="1">
      <alignment horizontal="center"/>
    </xf>
    <xf numFmtId="9" fontId="0" fillId="0" borderId="9" xfId="0" applyNumberFormat="1" applyBorder="1" applyAlignment="1">
      <alignment horizontal="center"/>
    </xf>
    <xf numFmtId="0" fontId="3" fillId="0" borderId="0" xfId="0" applyFont="1" applyAlignment="1">
      <alignment horizontal="center"/>
    </xf>
    <xf numFmtId="0" fontId="0" fillId="0" borderId="0" xfId="0" pivotButton="1"/>
    <xf numFmtId="0" fontId="0" fillId="0" borderId="0" xfId="0" applyAlignment="1">
      <alignment horizontal="left"/>
    </xf>
    <xf numFmtId="0" fontId="0" fillId="0" borderId="0" xfId="0" applyNumberFormat="1"/>
    <xf numFmtId="165" fontId="0" fillId="0" borderId="0" xfId="0" applyNumberFormat="1"/>
    <xf numFmtId="0" fontId="0" fillId="0" borderId="0" xfId="0" applyAlignment="1">
      <alignment horizontal="center"/>
    </xf>
    <xf numFmtId="0" fontId="7" fillId="0" borderId="0" xfId="0" applyFont="1" applyAlignment="1">
      <alignment horizontal="center"/>
    </xf>
    <xf numFmtId="0" fontId="8" fillId="0" borderId="0" xfId="0" applyFont="1" applyAlignment="1">
      <alignment horizontal="center"/>
    </xf>
    <xf numFmtId="0" fontId="9" fillId="0" borderId="0" xfId="0" applyFont="1" applyAlignment="1"/>
    <xf numFmtId="10" fontId="10" fillId="0" borderId="0" xfId="0" applyNumberFormat="1" applyFont="1"/>
    <xf numFmtId="0" fontId="11" fillId="0" borderId="0" xfId="0" applyFont="1"/>
    <xf numFmtId="0" fontId="12" fillId="0" borderId="0" xfId="0" applyFont="1" applyAlignment="1">
      <alignment horizontal="center"/>
    </xf>
    <xf numFmtId="10" fontId="13" fillId="0" borderId="0" xfId="0" applyNumberFormat="1" applyFont="1" applyAlignment="1">
      <alignment horizontal="center"/>
    </xf>
    <xf numFmtId="0" fontId="13" fillId="0" borderId="0" xfId="0" applyFont="1" applyAlignment="1">
      <alignment horizontal="center"/>
    </xf>
    <xf numFmtId="0" fontId="6" fillId="0" borderId="0" xfId="0" applyFont="1"/>
    <xf numFmtId="10" fontId="14" fillId="0" borderId="0" xfId="0" applyNumberFormat="1" applyFont="1" applyAlignment="1">
      <alignment horizontal="center"/>
    </xf>
    <xf numFmtId="0" fontId="14" fillId="0" borderId="0" xfId="0" applyFont="1" applyAlignment="1">
      <alignment horizontal="center"/>
    </xf>
    <xf numFmtId="0" fontId="6" fillId="0" borderId="0" xfId="0" applyFont="1" applyAlignment="1">
      <alignment horizontal="center"/>
    </xf>
    <xf numFmtId="2" fontId="13" fillId="0" borderId="0" xfId="0" applyNumberFormat="1" applyFont="1" applyAlignment="1">
      <alignment horizontal="center"/>
    </xf>
    <xf numFmtId="0" fontId="5" fillId="0" borderId="0" xfId="0" applyFont="1" applyAlignment="1">
      <alignment horizontal="center"/>
    </xf>
    <xf numFmtId="1" fontId="14" fillId="0" borderId="0" xfId="0" applyNumberFormat="1" applyFont="1" applyAlignment="1">
      <alignment horizontal="center"/>
    </xf>
  </cellXfs>
  <cellStyles count="1">
    <cellStyle name="Normal" xfId="0" builtinId="0"/>
  </cellStyles>
  <dxfs count="20">
    <dxf>
      <fill>
        <patternFill>
          <bgColor rgb="FFFF0000"/>
        </patternFill>
      </fill>
    </dxf>
    <dxf>
      <fill>
        <patternFill>
          <bgColor rgb="FFFF0000"/>
        </patternFill>
      </fill>
    </dxf>
    <dxf>
      <fill>
        <patternFill>
          <fgColor rgb="FFFF0000"/>
        </patternFill>
      </fill>
    </dxf>
    <dxf>
      <fill>
        <patternFill>
          <bgColor rgb="FFFF0000"/>
        </patternFill>
      </fill>
    </dxf>
    <dxf>
      <fill>
        <patternFill>
          <bgColor rgb="FFFF0000"/>
        </patternFill>
      </fill>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0"/>
        </left>
        <right/>
        <top style="thin">
          <color theme="0"/>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0"/>
        </left>
        <right/>
        <top style="thin">
          <color theme="0"/>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0"/>
        </left>
        <right/>
        <top style="thin">
          <color theme="0"/>
        </top>
        <bottom/>
        <vertical/>
        <horizontal/>
      </border>
    </dxf>
    <dxf>
      <numFmt numFmtId="165" formatCode="&quot;$&quot;#,##0.00"/>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0"/>
        </left>
        <right/>
        <top style="thin">
          <color theme="0"/>
        </top>
        <bottom/>
        <vertical/>
        <horizontal/>
      </border>
    </dxf>
    <dxf>
      <numFmt numFmtId="165" formatCode="&quot;$&quot;#,##0.00"/>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0"/>
        </left>
        <right/>
        <top style="thin">
          <color theme="0"/>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0"/>
        </left>
        <right/>
        <top style="thin">
          <color theme="0"/>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0"/>
        </left>
        <right/>
        <top style="thin">
          <color theme="0"/>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0"/>
        </left>
        <right/>
        <top style="thin">
          <color theme="0"/>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0"/>
        </left>
        <right/>
        <top style="thin">
          <color theme="0"/>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0"/>
        </left>
        <right/>
        <top style="thin">
          <color theme="0"/>
        </top>
        <bottom/>
        <vertical/>
        <horizontal/>
      </border>
    </dxf>
    <dxf>
      <numFmt numFmtId="19" formatCode="yyyy/mm/dd"/>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0"/>
        </left>
        <right/>
        <top style="thin">
          <color theme="0"/>
        </top>
        <bottom/>
        <vertical/>
        <horizontal/>
      </border>
    </dxf>
    <dxf>
      <numFmt numFmtId="19" formatCode="yyyy/mm/dd"/>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0"/>
        </left>
        <right/>
        <top style="thin">
          <color theme="0"/>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0"/>
        </top>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s>
  <tableStyles count="0" defaultTableStyle="TableStyleMedium9" defaultPivotStyle="PivotStyleLight16"/>
  <colors>
    <mruColors>
      <color rgb="FF1F6B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[FreshCart_SCAnalysis_Saffan.xlsx]PIVOT_TABLE_ANALYSIS!PivotTable1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sz="1400" b="0" i="0" u="none" strike="noStrike" baseline="0"/>
              <a:t>Supplier Delivery Performance</a:t>
            </a:r>
            <a:endParaRPr lang="en-C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PIVOT_TABLE_ANALYSIS!$B$3:$B$4</c:f>
              <c:strCache>
                <c:ptCount val="1"/>
                <c:pt idx="0">
                  <c:v>Late</c:v>
                </c:pt>
              </c:strCache>
            </c:strRef>
          </c:tx>
          <c:spPr>
            <a:solidFill>
              <a:schemeClr val="accent1"/>
            </a:solidFill>
            <a:ln>
              <a:noFill/>
            </a:ln>
            <a:effectLst/>
          </c:spPr>
          <c:invertIfNegative val="0"/>
          <c:cat>
            <c:strRef>
              <c:f>PIVOT_TABLE_ANALYSIS!$A$5:$A$13</c:f>
              <c:strCache>
                <c:ptCount val="8"/>
                <c:pt idx="0">
                  <c:v>AGRIFLOW DISTRIBUTORS</c:v>
                </c:pt>
                <c:pt idx="1">
                  <c:v>BLUE STAR WHOLESALE</c:v>
                </c:pt>
                <c:pt idx="2">
                  <c:v>FRESH LINK PARTNERS</c:v>
                </c:pt>
                <c:pt idx="3">
                  <c:v>GREENFIELD FOODS</c:v>
                </c:pt>
                <c:pt idx="4">
                  <c:v>NOVA COLD LOGISTICS </c:v>
                </c:pt>
                <c:pt idx="5">
                  <c:v>PRIME REMOVAL LTD.</c:v>
                </c:pt>
                <c:pt idx="6">
                  <c:v>RAPID SUPPLY CO</c:v>
                </c:pt>
                <c:pt idx="7">
                  <c:v>SWIFT CHAIN INC</c:v>
                </c:pt>
              </c:strCache>
            </c:strRef>
          </c:cat>
          <c:val>
            <c:numRef>
              <c:f>PIVOT_TABLE_ANALYSIS!$B$5:$B$13</c:f>
              <c:numCache>
                <c:formatCode>General</c:formatCode>
                <c:ptCount val="8"/>
                <c:pt idx="0">
                  <c:v>2</c:v>
                </c:pt>
                <c:pt idx="1">
                  <c:v>1</c:v>
                </c:pt>
                <c:pt idx="2">
                  <c:v>5</c:v>
                </c:pt>
                <c:pt idx="3">
                  <c:v>9</c:v>
                </c:pt>
                <c:pt idx="4">
                  <c:v>15</c:v>
                </c:pt>
                <c:pt idx="5">
                  <c:v>4</c:v>
                </c:pt>
                <c:pt idx="6">
                  <c:v>2</c:v>
                </c:pt>
                <c:pt idx="7">
                  <c:v>4</c:v>
                </c:pt>
              </c:numCache>
            </c:numRef>
          </c:val>
          <c:extLst>
            <c:ext xmlns:c16="http://schemas.microsoft.com/office/drawing/2014/chart" uri="{C3380CC4-5D6E-409C-BE32-E72D297353CC}">
              <c16:uniqueId val="{00000000-E4BC-4729-89FB-8DD00655B47C}"/>
            </c:ext>
          </c:extLst>
        </c:ser>
        <c:ser>
          <c:idx val="1"/>
          <c:order val="1"/>
          <c:tx>
            <c:strRef>
              <c:f>PIVOT_TABLE_ANALYSIS!$C$3:$C$4</c:f>
              <c:strCache>
                <c:ptCount val="1"/>
                <c:pt idx="0">
                  <c:v>Not Applicable </c:v>
                </c:pt>
              </c:strCache>
            </c:strRef>
          </c:tx>
          <c:spPr>
            <a:solidFill>
              <a:schemeClr val="accent2"/>
            </a:solidFill>
            <a:ln>
              <a:noFill/>
            </a:ln>
            <a:effectLst/>
          </c:spPr>
          <c:invertIfNegative val="0"/>
          <c:cat>
            <c:strRef>
              <c:f>PIVOT_TABLE_ANALYSIS!$A$5:$A$13</c:f>
              <c:strCache>
                <c:ptCount val="8"/>
                <c:pt idx="0">
                  <c:v>AGRIFLOW DISTRIBUTORS</c:v>
                </c:pt>
                <c:pt idx="1">
                  <c:v>BLUE STAR WHOLESALE</c:v>
                </c:pt>
                <c:pt idx="2">
                  <c:v>FRESH LINK PARTNERS</c:v>
                </c:pt>
                <c:pt idx="3">
                  <c:v>GREENFIELD FOODS</c:v>
                </c:pt>
                <c:pt idx="4">
                  <c:v>NOVA COLD LOGISTICS </c:v>
                </c:pt>
                <c:pt idx="5">
                  <c:v>PRIME REMOVAL LTD.</c:v>
                </c:pt>
                <c:pt idx="6">
                  <c:v>RAPID SUPPLY CO</c:v>
                </c:pt>
                <c:pt idx="7">
                  <c:v>SWIFT CHAIN INC</c:v>
                </c:pt>
              </c:strCache>
            </c:strRef>
          </c:cat>
          <c:val>
            <c:numRef>
              <c:f>PIVOT_TABLE_ANALYSIS!$C$5:$C$13</c:f>
              <c:numCache>
                <c:formatCode>General</c:formatCode>
                <c:ptCount val="8"/>
                <c:pt idx="0">
                  <c:v>1</c:v>
                </c:pt>
                <c:pt idx="1">
                  <c:v>2</c:v>
                </c:pt>
                <c:pt idx="2">
                  <c:v>3</c:v>
                </c:pt>
                <c:pt idx="4">
                  <c:v>2</c:v>
                </c:pt>
                <c:pt idx="5">
                  <c:v>1</c:v>
                </c:pt>
                <c:pt idx="6">
                  <c:v>3</c:v>
                </c:pt>
                <c:pt idx="7">
                  <c:v>1</c:v>
                </c:pt>
              </c:numCache>
            </c:numRef>
          </c:val>
          <c:extLst>
            <c:ext xmlns:c16="http://schemas.microsoft.com/office/drawing/2014/chart" uri="{C3380CC4-5D6E-409C-BE32-E72D297353CC}">
              <c16:uniqueId val="{00000004-E4BC-4729-89FB-8DD00655B47C}"/>
            </c:ext>
          </c:extLst>
        </c:ser>
        <c:ser>
          <c:idx val="2"/>
          <c:order val="2"/>
          <c:tx>
            <c:strRef>
              <c:f>PIVOT_TABLE_ANALYSIS!$D$3:$D$4</c:f>
              <c:strCache>
                <c:ptCount val="1"/>
                <c:pt idx="0">
                  <c:v>On Time</c:v>
                </c:pt>
              </c:strCache>
            </c:strRef>
          </c:tx>
          <c:spPr>
            <a:solidFill>
              <a:schemeClr val="accent3"/>
            </a:solidFill>
            <a:ln>
              <a:noFill/>
            </a:ln>
            <a:effectLst/>
          </c:spPr>
          <c:invertIfNegative val="0"/>
          <c:cat>
            <c:strRef>
              <c:f>PIVOT_TABLE_ANALYSIS!$A$5:$A$13</c:f>
              <c:strCache>
                <c:ptCount val="8"/>
                <c:pt idx="0">
                  <c:v>AGRIFLOW DISTRIBUTORS</c:v>
                </c:pt>
                <c:pt idx="1">
                  <c:v>BLUE STAR WHOLESALE</c:v>
                </c:pt>
                <c:pt idx="2">
                  <c:v>FRESH LINK PARTNERS</c:v>
                </c:pt>
                <c:pt idx="3">
                  <c:v>GREENFIELD FOODS</c:v>
                </c:pt>
                <c:pt idx="4">
                  <c:v>NOVA COLD LOGISTICS </c:v>
                </c:pt>
                <c:pt idx="5">
                  <c:v>PRIME REMOVAL LTD.</c:v>
                </c:pt>
                <c:pt idx="6">
                  <c:v>RAPID SUPPLY CO</c:v>
                </c:pt>
                <c:pt idx="7">
                  <c:v>SWIFT CHAIN INC</c:v>
                </c:pt>
              </c:strCache>
            </c:strRef>
          </c:cat>
          <c:val>
            <c:numRef>
              <c:f>PIVOT_TABLE_ANALYSIS!$D$5:$D$13</c:f>
              <c:numCache>
                <c:formatCode>General</c:formatCode>
                <c:ptCount val="8"/>
                <c:pt idx="0">
                  <c:v>57</c:v>
                </c:pt>
                <c:pt idx="1">
                  <c:v>69</c:v>
                </c:pt>
                <c:pt idx="2">
                  <c:v>44</c:v>
                </c:pt>
                <c:pt idx="3">
                  <c:v>51</c:v>
                </c:pt>
                <c:pt idx="4">
                  <c:v>37</c:v>
                </c:pt>
                <c:pt idx="5">
                  <c:v>58</c:v>
                </c:pt>
                <c:pt idx="6">
                  <c:v>63</c:v>
                </c:pt>
                <c:pt idx="7">
                  <c:v>54</c:v>
                </c:pt>
              </c:numCache>
            </c:numRef>
          </c:val>
          <c:extLst>
            <c:ext xmlns:c16="http://schemas.microsoft.com/office/drawing/2014/chart" uri="{C3380CC4-5D6E-409C-BE32-E72D297353CC}">
              <c16:uniqueId val="{00000005-E4BC-4729-89FB-8DD00655B47C}"/>
            </c:ext>
          </c:extLst>
        </c:ser>
        <c:dLbls>
          <c:showLegendKey val="0"/>
          <c:showVal val="0"/>
          <c:showCatName val="0"/>
          <c:showSerName val="0"/>
          <c:showPercent val="0"/>
          <c:showBubbleSize val="0"/>
        </c:dLbls>
        <c:gapWidth val="182"/>
        <c:axId val="76280831"/>
        <c:axId val="76276031"/>
      </c:barChart>
      <c:catAx>
        <c:axId val="762808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276031"/>
        <c:crosses val="autoZero"/>
        <c:auto val="1"/>
        <c:lblAlgn val="ctr"/>
        <c:lblOffset val="100"/>
        <c:noMultiLvlLbl val="0"/>
      </c:catAx>
      <c:valAx>
        <c:axId val="762760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280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3">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[FreshCart_SCAnalysis_Saffan.xlsx]PIVOT_TABLE_ANALYSIS!PivotTable2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Share</a:t>
            </a:r>
            <a:r>
              <a:rPr lang="en-CA" baseline="0"/>
              <a:t> of Warehouses by Products</a:t>
            </a:r>
            <a:endParaRPr lang="en-C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PIVOT_TABLE_ANALYSIS!$B$17:$B$18</c:f>
              <c:strCache>
                <c:ptCount val="1"/>
                <c:pt idx="0">
                  <c:v>PRODUCE</c:v>
                </c:pt>
              </c:strCache>
            </c:strRef>
          </c:tx>
          <c:spPr>
            <a:solidFill>
              <a:schemeClr val="accent1"/>
            </a:solidFill>
            <a:ln>
              <a:noFill/>
            </a:ln>
            <a:effectLst/>
          </c:spPr>
          <c:invertIfNegative val="0"/>
          <c:cat>
            <c:strRef>
              <c:f>PIVOT_TABLE_ANALYSIS!$A$19:$A$25</c:f>
              <c:strCache>
                <c:ptCount val="6"/>
                <c:pt idx="0">
                  <c:v>0</c:v>
                </c:pt>
                <c:pt idx="1">
                  <c:v>WH-A</c:v>
                </c:pt>
                <c:pt idx="2">
                  <c:v>WH-B</c:v>
                </c:pt>
                <c:pt idx="3">
                  <c:v>WH-C</c:v>
                </c:pt>
                <c:pt idx="4">
                  <c:v>WH-D</c:v>
                </c:pt>
                <c:pt idx="5">
                  <c:v>WH-E</c:v>
                </c:pt>
              </c:strCache>
            </c:strRef>
          </c:cat>
          <c:val>
            <c:numRef>
              <c:f>PIVOT_TABLE_ANALYSIS!$B$19:$B$25</c:f>
              <c:numCache>
                <c:formatCode>General</c:formatCode>
                <c:ptCount val="6"/>
                <c:pt idx="1">
                  <c:v>3352</c:v>
                </c:pt>
                <c:pt idx="2">
                  <c:v>4805</c:v>
                </c:pt>
                <c:pt idx="3">
                  <c:v>2970</c:v>
                </c:pt>
                <c:pt idx="4">
                  <c:v>3917</c:v>
                </c:pt>
                <c:pt idx="5">
                  <c:v>15060</c:v>
                </c:pt>
              </c:numCache>
            </c:numRef>
          </c:val>
          <c:extLst>
            <c:ext xmlns:c16="http://schemas.microsoft.com/office/drawing/2014/chart" uri="{C3380CC4-5D6E-409C-BE32-E72D297353CC}">
              <c16:uniqueId val="{00000000-C5DF-4F94-98D7-0112D9E390B4}"/>
            </c:ext>
          </c:extLst>
        </c:ser>
        <c:ser>
          <c:idx val="1"/>
          <c:order val="1"/>
          <c:tx>
            <c:strRef>
              <c:f>PIVOT_TABLE_ANALYSIS!$C$17:$C$18</c:f>
              <c:strCache>
                <c:ptCount val="1"/>
                <c:pt idx="0">
                  <c:v>BAKERY</c:v>
                </c:pt>
              </c:strCache>
            </c:strRef>
          </c:tx>
          <c:spPr>
            <a:solidFill>
              <a:schemeClr val="accent2"/>
            </a:solidFill>
            <a:ln>
              <a:noFill/>
            </a:ln>
            <a:effectLst/>
          </c:spPr>
          <c:invertIfNegative val="0"/>
          <c:cat>
            <c:strRef>
              <c:f>PIVOT_TABLE_ANALYSIS!$A$19:$A$25</c:f>
              <c:strCache>
                <c:ptCount val="6"/>
                <c:pt idx="0">
                  <c:v>0</c:v>
                </c:pt>
                <c:pt idx="1">
                  <c:v>WH-A</c:v>
                </c:pt>
                <c:pt idx="2">
                  <c:v>WH-B</c:v>
                </c:pt>
                <c:pt idx="3">
                  <c:v>WH-C</c:v>
                </c:pt>
                <c:pt idx="4">
                  <c:v>WH-D</c:v>
                </c:pt>
                <c:pt idx="5">
                  <c:v>WH-E</c:v>
                </c:pt>
              </c:strCache>
            </c:strRef>
          </c:cat>
          <c:val>
            <c:numRef>
              <c:f>PIVOT_TABLE_ANALYSIS!$C$19:$C$25</c:f>
              <c:numCache>
                <c:formatCode>General</c:formatCode>
                <c:ptCount val="6"/>
                <c:pt idx="0">
                  <c:v>157</c:v>
                </c:pt>
                <c:pt idx="1">
                  <c:v>4695</c:v>
                </c:pt>
                <c:pt idx="2">
                  <c:v>4572</c:v>
                </c:pt>
                <c:pt idx="3">
                  <c:v>3619</c:v>
                </c:pt>
                <c:pt idx="4">
                  <c:v>13639</c:v>
                </c:pt>
                <c:pt idx="5">
                  <c:v>3296</c:v>
                </c:pt>
              </c:numCache>
            </c:numRef>
          </c:val>
          <c:extLst>
            <c:ext xmlns:c16="http://schemas.microsoft.com/office/drawing/2014/chart" uri="{C3380CC4-5D6E-409C-BE32-E72D297353CC}">
              <c16:uniqueId val="{00000008-C5DF-4F94-98D7-0112D9E390B4}"/>
            </c:ext>
          </c:extLst>
        </c:ser>
        <c:ser>
          <c:idx val="2"/>
          <c:order val="2"/>
          <c:tx>
            <c:strRef>
              <c:f>PIVOT_TABLE_ANALYSIS!$D$17:$D$18</c:f>
              <c:strCache>
                <c:ptCount val="1"/>
                <c:pt idx="0">
                  <c:v>BEVERAGES</c:v>
                </c:pt>
              </c:strCache>
            </c:strRef>
          </c:tx>
          <c:spPr>
            <a:solidFill>
              <a:schemeClr val="accent3"/>
            </a:solidFill>
            <a:ln>
              <a:noFill/>
            </a:ln>
            <a:effectLst/>
          </c:spPr>
          <c:invertIfNegative val="0"/>
          <c:cat>
            <c:strRef>
              <c:f>PIVOT_TABLE_ANALYSIS!$A$19:$A$25</c:f>
              <c:strCache>
                <c:ptCount val="6"/>
                <c:pt idx="0">
                  <c:v>0</c:v>
                </c:pt>
                <c:pt idx="1">
                  <c:v>WH-A</c:v>
                </c:pt>
                <c:pt idx="2">
                  <c:v>WH-B</c:v>
                </c:pt>
                <c:pt idx="3">
                  <c:v>WH-C</c:v>
                </c:pt>
                <c:pt idx="4">
                  <c:v>WH-D</c:v>
                </c:pt>
                <c:pt idx="5">
                  <c:v>WH-E</c:v>
                </c:pt>
              </c:strCache>
            </c:strRef>
          </c:cat>
          <c:val>
            <c:numRef>
              <c:f>PIVOT_TABLE_ANALYSIS!$D$19:$D$25</c:f>
              <c:numCache>
                <c:formatCode>General</c:formatCode>
                <c:ptCount val="6"/>
                <c:pt idx="1">
                  <c:v>4634</c:v>
                </c:pt>
                <c:pt idx="2">
                  <c:v>3983</c:v>
                </c:pt>
                <c:pt idx="3">
                  <c:v>4204</c:v>
                </c:pt>
                <c:pt idx="4">
                  <c:v>3402</c:v>
                </c:pt>
                <c:pt idx="5">
                  <c:v>4292</c:v>
                </c:pt>
              </c:numCache>
            </c:numRef>
          </c:val>
          <c:extLst>
            <c:ext xmlns:c16="http://schemas.microsoft.com/office/drawing/2014/chart" uri="{C3380CC4-5D6E-409C-BE32-E72D297353CC}">
              <c16:uniqueId val="{00000009-C5DF-4F94-98D7-0112D9E390B4}"/>
            </c:ext>
          </c:extLst>
        </c:ser>
        <c:ser>
          <c:idx val="3"/>
          <c:order val="3"/>
          <c:tx>
            <c:strRef>
              <c:f>PIVOT_TABLE_ANALYSIS!$E$17:$E$18</c:f>
              <c:strCache>
                <c:ptCount val="1"/>
                <c:pt idx="0">
                  <c:v>DAIRY</c:v>
                </c:pt>
              </c:strCache>
            </c:strRef>
          </c:tx>
          <c:spPr>
            <a:solidFill>
              <a:schemeClr val="accent4"/>
            </a:solidFill>
            <a:ln>
              <a:noFill/>
            </a:ln>
            <a:effectLst/>
          </c:spPr>
          <c:invertIfNegative val="0"/>
          <c:cat>
            <c:strRef>
              <c:f>PIVOT_TABLE_ANALYSIS!$A$19:$A$25</c:f>
              <c:strCache>
                <c:ptCount val="6"/>
                <c:pt idx="0">
                  <c:v>0</c:v>
                </c:pt>
                <c:pt idx="1">
                  <c:v>WH-A</c:v>
                </c:pt>
                <c:pt idx="2">
                  <c:v>WH-B</c:v>
                </c:pt>
                <c:pt idx="3">
                  <c:v>WH-C</c:v>
                </c:pt>
                <c:pt idx="4">
                  <c:v>WH-D</c:v>
                </c:pt>
                <c:pt idx="5">
                  <c:v>WH-E</c:v>
                </c:pt>
              </c:strCache>
            </c:strRef>
          </c:cat>
          <c:val>
            <c:numRef>
              <c:f>PIVOT_TABLE_ANALYSIS!$E$19:$E$25</c:f>
              <c:numCache>
                <c:formatCode>General</c:formatCode>
                <c:ptCount val="6"/>
                <c:pt idx="0">
                  <c:v>345</c:v>
                </c:pt>
                <c:pt idx="1">
                  <c:v>3929</c:v>
                </c:pt>
                <c:pt idx="2">
                  <c:v>4228</c:v>
                </c:pt>
                <c:pt idx="3">
                  <c:v>5927</c:v>
                </c:pt>
                <c:pt idx="4">
                  <c:v>3288</c:v>
                </c:pt>
                <c:pt idx="5">
                  <c:v>2394</c:v>
                </c:pt>
              </c:numCache>
            </c:numRef>
          </c:val>
          <c:extLst>
            <c:ext xmlns:c16="http://schemas.microsoft.com/office/drawing/2014/chart" uri="{C3380CC4-5D6E-409C-BE32-E72D297353CC}">
              <c16:uniqueId val="{0000000A-C5DF-4F94-98D7-0112D9E390B4}"/>
            </c:ext>
          </c:extLst>
        </c:ser>
        <c:ser>
          <c:idx val="4"/>
          <c:order val="4"/>
          <c:tx>
            <c:strRef>
              <c:f>PIVOT_TABLE_ANALYSIS!$F$17:$F$18</c:f>
              <c:strCache>
                <c:ptCount val="1"/>
                <c:pt idx="0">
                  <c:v>FROZEN</c:v>
                </c:pt>
              </c:strCache>
            </c:strRef>
          </c:tx>
          <c:spPr>
            <a:solidFill>
              <a:schemeClr val="accent5"/>
            </a:solidFill>
            <a:ln>
              <a:noFill/>
            </a:ln>
            <a:effectLst/>
          </c:spPr>
          <c:invertIfNegative val="0"/>
          <c:cat>
            <c:strRef>
              <c:f>PIVOT_TABLE_ANALYSIS!$A$19:$A$25</c:f>
              <c:strCache>
                <c:ptCount val="6"/>
                <c:pt idx="0">
                  <c:v>0</c:v>
                </c:pt>
                <c:pt idx="1">
                  <c:v>WH-A</c:v>
                </c:pt>
                <c:pt idx="2">
                  <c:v>WH-B</c:v>
                </c:pt>
                <c:pt idx="3">
                  <c:v>WH-C</c:v>
                </c:pt>
                <c:pt idx="4">
                  <c:v>WH-D</c:v>
                </c:pt>
                <c:pt idx="5">
                  <c:v>WH-E</c:v>
                </c:pt>
              </c:strCache>
            </c:strRef>
          </c:cat>
          <c:val>
            <c:numRef>
              <c:f>PIVOT_TABLE_ANALYSIS!$F$19:$F$25</c:f>
              <c:numCache>
                <c:formatCode>General</c:formatCode>
                <c:ptCount val="6"/>
                <c:pt idx="0">
                  <c:v>570</c:v>
                </c:pt>
                <c:pt idx="1">
                  <c:v>6110</c:v>
                </c:pt>
                <c:pt idx="2">
                  <c:v>3472</c:v>
                </c:pt>
                <c:pt idx="3">
                  <c:v>2593</c:v>
                </c:pt>
                <c:pt idx="4">
                  <c:v>3523</c:v>
                </c:pt>
                <c:pt idx="5">
                  <c:v>3576</c:v>
                </c:pt>
              </c:numCache>
            </c:numRef>
          </c:val>
          <c:extLst>
            <c:ext xmlns:c16="http://schemas.microsoft.com/office/drawing/2014/chart" uri="{C3380CC4-5D6E-409C-BE32-E72D297353CC}">
              <c16:uniqueId val="{0000000B-C5DF-4F94-98D7-0112D9E390B4}"/>
            </c:ext>
          </c:extLst>
        </c:ser>
        <c:dLbls>
          <c:showLegendKey val="0"/>
          <c:showVal val="0"/>
          <c:showCatName val="0"/>
          <c:showSerName val="0"/>
          <c:showPercent val="0"/>
          <c:showBubbleSize val="0"/>
        </c:dLbls>
        <c:gapWidth val="150"/>
        <c:overlap val="100"/>
        <c:axId val="76301951"/>
        <c:axId val="76291871"/>
      </c:barChart>
      <c:catAx>
        <c:axId val="763019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291871"/>
        <c:crosses val="autoZero"/>
        <c:auto val="1"/>
        <c:lblAlgn val="ctr"/>
        <c:lblOffset val="100"/>
        <c:noMultiLvlLbl val="0"/>
      </c:catAx>
      <c:valAx>
        <c:axId val="762918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301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3">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[FreshCart_SCAnalysis_Saffan.xlsx]PIVOT_TABLE_ANALYSIS!PivotTable3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baseline="0"/>
              <a:t>Delivery Perfromance by Product</a:t>
            </a:r>
            <a:endParaRPr lang="en-C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PIVOT_TABLE_ANALYSIS!$B$28:$B$29</c:f>
              <c:strCache>
                <c:ptCount val="1"/>
                <c:pt idx="0">
                  <c:v>Late</c:v>
                </c:pt>
              </c:strCache>
            </c:strRef>
          </c:tx>
          <c:spPr>
            <a:solidFill>
              <a:schemeClr val="accent1"/>
            </a:solidFill>
            <a:ln>
              <a:noFill/>
            </a:ln>
            <a:effectLst/>
          </c:spPr>
          <c:invertIfNegative val="0"/>
          <c:cat>
            <c:strRef>
              <c:f>PIVOT_TABLE_ANALYSIS!$A$30:$A$35</c:f>
              <c:strCache>
                <c:ptCount val="5"/>
                <c:pt idx="0">
                  <c:v>PRODUCE</c:v>
                </c:pt>
                <c:pt idx="1">
                  <c:v>FROZEN</c:v>
                </c:pt>
                <c:pt idx="2">
                  <c:v>DAIRY</c:v>
                </c:pt>
                <c:pt idx="3">
                  <c:v>BEVERAGES</c:v>
                </c:pt>
                <c:pt idx="4">
                  <c:v>BAKERY</c:v>
                </c:pt>
              </c:strCache>
            </c:strRef>
          </c:cat>
          <c:val>
            <c:numRef>
              <c:f>PIVOT_TABLE_ANALYSIS!$B$30:$B$35</c:f>
              <c:numCache>
                <c:formatCode>General</c:formatCode>
                <c:ptCount val="5"/>
                <c:pt idx="0">
                  <c:v>8</c:v>
                </c:pt>
                <c:pt idx="1">
                  <c:v>11</c:v>
                </c:pt>
                <c:pt idx="2">
                  <c:v>7</c:v>
                </c:pt>
                <c:pt idx="3">
                  <c:v>8</c:v>
                </c:pt>
                <c:pt idx="4">
                  <c:v>8</c:v>
                </c:pt>
              </c:numCache>
            </c:numRef>
          </c:val>
          <c:extLst>
            <c:ext xmlns:c16="http://schemas.microsoft.com/office/drawing/2014/chart" uri="{C3380CC4-5D6E-409C-BE32-E72D297353CC}">
              <c16:uniqueId val="{00000000-C5AC-44DD-8FD8-802F3A6A1379}"/>
            </c:ext>
          </c:extLst>
        </c:ser>
        <c:ser>
          <c:idx val="1"/>
          <c:order val="1"/>
          <c:tx>
            <c:strRef>
              <c:f>PIVOT_TABLE_ANALYSIS!$C$28:$C$29</c:f>
              <c:strCache>
                <c:ptCount val="1"/>
                <c:pt idx="0">
                  <c:v>Not Applicable </c:v>
                </c:pt>
              </c:strCache>
            </c:strRef>
          </c:tx>
          <c:spPr>
            <a:solidFill>
              <a:schemeClr val="accent2"/>
            </a:solidFill>
            <a:ln>
              <a:noFill/>
            </a:ln>
            <a:effectLst/>
          </c:spPr>
          <c:invertIfNegative val="0"/>
          <c:cat>
            <c:strRef>
              <c:f>PIVOT_TABLE_ANALYSIS!$A$30:$A$35</c:f>
              <c:strCache>
                <c:ptCount val="5"/>
                <c:pt idx="0">
                  <c:v>PRODUCE</c:v>
                </c:pt>
                <c:pt idx="1">
                  <c:v>FROZEN</c:v>
                </c:pt>
                <c:pt idx="2">
                  <c:v>DAIRY</c:v>
                </c:pt>
                <c:pt idx="3">
                  <c:v>BEVERAGES</c:v>
                </c:pt>
                <c:pt idx="4">
                  <c:v>BAKERY</c:v>
                </c:pt>
              </c:strCache>
            </c:strRef>
          </c:cat>
          <c:val>
            <c:numRef>
              <c:f>PIVOT_TABLE_ANALYSIS!$C$30:$C$35</c:f>
              <c:numCache>
                <c:formatCode>General</c:formatCode>
                <c:ptCount val="5"/>
                <c:pt idx="0">
                  <c:v>2</c:v>
                </c:pt>
                <c:pt idx="1">
                  <c:v>2</c:v>
                </c:pt>
                <c:pt idx="2">
                  <c:v>2</c:v>
                </c:pt>
                <c:pt idx="3">
                  <c:v>5</c:v>
                </c:pt>
                <c:pt idx="4">
                  <c:v>2</c:v>
                </c:pt>
              </c:numCache>
            </c:numRef>
          </c:val>
          <c:extLst>
            <c:ext xmlns:c16="http://schemas.microsoft.com/office/drawing/2014/chart" uri="{C3380CC4-5D6E-409C-BE32-E72D297353CC}">
              <c16:uniqueId val="{00000004-C5AC-44DD-8FD8-802F3A6A1379}"/>
            </c:ext>
          </c:extLst>
        </c:ser>
        <c:ser>
          <c:idx val="2"/>
          <c:order val="2"/>
          <c:tx>
            <c:strRef>
              <c:f>PIVOT_TABLE_ANALYSIS!$D$28:$D$29</c:f>
              <c:strCache>
                <c:ptCount val="1"/>
                <c:pt idx="0">
                  <c:v>On Time</c:v>
                </c:pt>
              </c:strCache>
            </c:strRef>
          </c:tx>
          <c:spPr>
            <a:solidFill>
              <a:schemeClr val="accent3"/>
            </a:solidFill>
            <a:ln>
              <a:noFill/>
            </a:ln>
            <a:effectLst/>
          </c:spPr>
          <c:invertIfNegative val="0"/>
          <c:cat>
            <c:strRef>
              <c:f>PIVOT_TABLE_ANALYSIS!$A$30:$A$35</c:f>
              <c:strCache>
                <c:ptCount val="5"/>
                <c:pt idx="0">
                  <c:v>PRODUCE</c:v>
                </c:pt>
                <c:pt idx="1">
                  <c:v>FROZEN</c:v>
                </c:pt>
                <c:pt idx="2">
                  <c:v>DAIRY</c:v>
                </c:pt>
                <c:pt idx="3">
                  <c:v>BEVERAGES</c:v>
                </c:pt>
                <c:pt idx="4">
                  <c:v>BAKERY</c:v>
                </c:pt>
              </c:strCache>
            </c:strRef>
          </c:cat>
          <c:val>
            <c:numRef>
              <c:f>PIVOT_TABLE_ANALYSIS!$D$30:$D$35</c:f>
              <c:numCache>
                <c:formatCode>General</c:formatCode>
                <c:ptCount val="5"/>
                <c:pt idx="0">
                  <c:v>93</c:v>
                </c:pt>
                <c:pt idx="1">
                  <c:v>85</c:v>
                </c:pt>
                <c:pt idx="2">
                  <c:v>88</c:v>
                </c:pt>
                <c:pt idx="3">
                  <c:v>83</c:v>
                </c:pt>
                <c:pt idx="4">
                  <c:v>84</c:v>
                </c:pt>
              </c:numCache>
            </c:numRef>
          </c:val>
          <c:extLst>
            <c:ext xmlns:c16="http://schemas.microsoft.com/office/drawing/2014/chart" uri="{C3380CC4-5D6E-409C-BE32-E72D297353CC}">
              <c16:uniqueId val="{00000005-C5AC-44DD-8FD8-802F3A6A1379}"/>
            </c:ext>
          </c:extLst>
        </c:ser>
        <c:dLbls>
          <c:showLegendKey val="0"/>
          <c:showVal val="0"/>
          <c:showCatName val="0"/>
          <c:showSerName val="0"/>
          <c:showPercent val="0"/>
          <c:showBubbleSize val="0"/>
        </c:dLbls>
        <c:gapWidth val="219"/>
        <c:overlap val="-27"/>
        <c:axId val="1809011279"/>
        <c:axId val="1808995919"/>
      </c:barChart>
      <c:catAx>
        <c:axId val="1809011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8995919"/>
        <c:crosses val="autoZero"/>
        <c:auto val="1"/>
        <c:lblAlgn val="ctr"/>
        <c:lblOffset val="100"/>
        <c:noMultiLvlLbl val="0"/>
      </c:catAx>
      <c:valAx>
        <c:axId val="18089959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9011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3">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[FreshCart_SCAnalysis_Saffan.xlsx]PIVOT_TABLE_ANALYSIS!PivotTable4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Revenues</a:t>
            </a:r>
            <a:r>
              <a:rPr lang="en-CA" baseline="0"/>
              <a:t> and Cost by Category</a:t>
            </a:r>
            <a:endParaRPr lang="en-C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PIVOT_TABLE_ANALYSIS!$L$3</c:f>
              <c:strCache>
                <c:ptCount val="1"/>
                <c:pt idx="0">
                  <c:v>Average of Unit_Revenue</c:v>
                </c:pt>
              </c:strCache>
            </c:strRef>
          </c:tx>
          <c:spPr>
            <a:solidFill>
              <a:schemeClr val="accent1"/>
            </a:solidFill>
            <a:ln>
              <a:noFill/>
            </a:ln>
            <a:effectLst/>
          </c:spPr>
          <c:invertIfNegative val="0"/>
          <c:cat>
            <c:strRef>
              <c:f>PIVOT_TABLE_ANALYSIS!$K$4:$K$9</c:f>
              <c:strCache>
                <c:ptCount val="5"/>
                <c:pt idx="0">
                  <c:v>PRODUCE</c:v>
                </c:pt>
                <c:pt idx="1">
                  <c:v>FROZEN</c:v>
                </c:pt>
                <c:pt idx="2">
                  <c:v>DAIRY</c:v>
                </c:pt>
                <c:pt idx="3">
                  <c:v>BEVERAGES</c:v>
                </c:pt>
                <c:pt idx="4">
                  <c:v>BAKERY</c:v>
                </c:pt>
              </c:strCache>
            </c:strRef>
          </c:cat>
          <c:val>
            <c:numRef>
              <c:f>PIVOT_TABLE_ANALYSIS!$L$4:$L$9</c:f>
              <c:numCache>
                <c:formatCode>General</c:formatCode>
                <c:ptCount val="5"/>
                <c:pt idx="0">
                  <c:v>6.6869387755102023</c:v>
                </c:pt>
                <c:pt idx="1">
                  <c:v>22.106421052631582</c:v>
                </c:pt>
                <c:pt idx="2">
                  <c:v>13.273763440860213</c:v>
                </c:pt>
                <c:pt idx="3">
                  <c:v>17.107234042553202</c:v>
                </c:pt>
                <c:pt idx="4">
                  <c:v>9.0376404494382019</c:v>
                </c:pt>
              </c:numCache>
            </c:numRef>
          </c:val>
          <c:extLst>
            <c:ext xmlns:c16="http://schemas.microsoft.com/office/drawing/2014/chart" uri="{C3380CC4-5D6E-409C-BE32-E72D297353CC}">
              <c16:uniqueId val="{00000000-B89D-45CF-B519-BD3EEE8FD8F1}"/>
            </c:ext>
          </c:extLst>
        </c:ser>
        <c:ser>
          <c:idx val="1"/>
          <c:order val="1"/>
          <c:tx>
            <c:strRef>
              <c:f>PIVOT_TABLE_ANALYSIS!$M$3</c:f>
              <c:strCache>
                <c:ptCount val="1"/>
                <c:pt idx="0">
                  <c:v>Average of COGS_Per_Unit</c:v>
                </c:pt>
              </c:strCache>
            </c:strRef>
          </c:tx>
          <c:spPr>
            <a:solidFill>
              <a:schemeClr val="accent2"/>
            </a:solidFill>
            <a:ln>
              <a:noFill/>
            </a:ln>
            <a:effectLst/>
          </c:spPr>
          <c:invertIfNegative val="0"/>
          <c:cat>
            <c:strRef>
              <c:f>PIVOT_TABLE_ANALYSIS!$K$4:$K$9</c:f>
              <c:strCache>
                <c:ptCount val="5"/>
                <c:pt idx="0">
                  <c:v>PRODUCE</c:v>
                </c:pt>
                <c:pt idx="1">
                  <c:v>FROZEN</c:v>
                </c:pt>
                <c:pt idx="2">
                  <c:v>DAIRY</c:v>
                </c:pt>
                <c:pt idx="3">
                  <c:v>BEVERAGES</c:v>
                </c:pt>
                <c:pt idx="4">
                  <c:v>BAKERY</c:v>
                </c:pt>
              </c:strCache>
            </c:strRef>
          </c:cat>
          <c:val>
            <c:numRef>
              <c:f>PIVOT_TABLE_ANALYSIS!$M$4:$M$9</c:f>
              <c:numCache>
                <c:formatCode>"$"#,##0.00</c:formatCode>
                <c:ptCount val="5"/>
                <c:pt idx="0">
                  <c:v>4.3732038834951465</c:v>
                </c:pt>
                <c:pt idx="1">
                  <c:v>14.321326530612247</c:v>
                </c:pt>
                <c:pt idx="2">
                  <c:v>8.5874226804123719</c:v>
                </c:pt>
                <c:pt idx="3">
                  <c:v>11.384999999999998</c:v>
                </c:pt>
                <c:pt idx="4">
                  <c:v>5.9640425531914891</c:v>
                </c:pt>
              </c:numCache>
            </c:numRef>
          </c:val>
          <c:extLst>
            <c:ext xmlns:c16="http://schemas.microsoft.com/office/drawing/2014/chart" uri="{C3380CC4-5D6E-409C-BE32-E72D297353CC}">
              <c16:uniqueId val="{00000001-B89D-45CF-B519-BD3EEE8FD8F1}"/>
            </c:ext>
          </c:extLst>
        </c:ser>
        <c:dLbls>
          <c:showLegendKey val="0"/>
          <c:showVal val="0"/>
          <c:showCatName val="0"/>
          <c:showSerName val="0"/>
          <c:showPercent val="0"/>
          <c:showBubbleSize val="0"/>
        </c:dLbls>
        <c:gapWidth val="219"/>
        <c:overlap val="-27"/>
        <c:axId val="76292351"/>
        <c:axId val="76295231"/>
      </c:barChart>
      <c:catAx>
        <c:axId val="76292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295231"/>
        <c:crosses val="autoZero"/>
        <c:auto val="1"/>
        <c:lblAlgn val="ctr"/>
        <c:lblOffset val="100"/>
        <c:noMultiLvlLbl val="0"/>
      </c:catAx>
      <c:valAx>
        <c:axId val="762952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292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3">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4</xdr:col>
      <xdr:colOff>3345180</xdr:colOff>
      <xdr:row>0</xdr:row>
      <xdr:rowOff>15240</xdr:rowOff>
    </xdr:from>
    <xdr:to>
      <xdr:col>11</xdr:col>
      <xdr:colOff>510540</xdr:colOff>
      <xdr:row>5</xdr:row>
      <xdr:rowOff>213360</xdr:rowOff>
    </xdr:to>
    <xdr:pic>
      <xdr:nvPicPr>
        <xdr:cNvPr id="12" name="Picture 11">
          <a:extLst>
            <a:ext uri="{FF2B5EF4-FFF2-40B4-BE49-F238E27FC236}">
              <a16:creationId xmlns:a16="http://schemas.microsoft.com/office/drawing/2014/main" id="{6ABD2096-8E8B-8BB4-6EA3-637B7AF56769}"/>
            </a:ext>
          </a:extLst>
        </xdr:cNvPr>
        <xdr:cNvPicPr>
          <a:picLocks noChangeAspect="1"/>
        </xdr:cNvPicPr>
      </xdr:nvPicPr>
      <xdr:blipFill>
        <a:blip xmlns:r="http://schemas.openxmlformats.org/officeDocument/2006/relationships" r:embed="rId1"/>
        <a:stretch>
          <a:fillRect/>
        </a:stretch>
      </xdr:blipFill>
      <xdr:spPr>
        <a:xfrm>
          <a:off x="7978140" y="15240"/>
          <a:ext cx="5448300" cy="1485900"/>
        </a:xfrm>
        <a:prstGeom prst="rect">
          <a:avLst/>
        </a:prstGeom>
      </xdr:spPr>
    </xdr:pic>
    <xdr:clientData/>
  </xdr:twoCellAnchor>
  <xdr:twoCellAnchor>
    <xdr:from>
      <xdr:col>4</xdr:col>
      <xdr:colOff>3390900</xdr:colOff>
      <xdr:row>0</xdr:row>
      <xdr:rowOff>22860</xdr:rowOff>
    </xdr:from>
    <xdr:to>
      <xdr:col>11</xdr:col>
      <xdr:colOff>510540</xdr:colOff>
      <xdr:row>30</xdr:row>
      <xdr:rowOff>167640</xdr:rowOff>
    </xdr:to>
    <xdr:sp macro="" textlink="">
      <xdr:nvSpPr>
        <xdr:cNvPr id="16" name="Rectangle 15">
          <a:extLst>
            <a:ext uri="{FF2B5EF4-FFF2-40B4-BE49-F238E27FC236}">
              <a16:creationId xmlns:a16="http://schemas.microsoft.com/office/drawing/2014/main" id="{43092D77-FC4C-CB5C-E611-3E09DFA047E5}"/>
            </a:ext>
          </a:extLst>
        </xdr:cNvPr>
        <xdr:cNvSpPr/>
      </xdr:nvSpPr>
      <xdr:spPr>
        <a:xfrm>
          <a:off x="8023860" y="22860"/>
          <a:ext cx="5402580" cy="6202680"/>
        </a:xfrm>
        <a:prstGeom prst="rect">
          <a:avLst/>
        </a:prstGeom>
        <a:noFill/>
        <a:ln>
          <a:solidFill>
            <a:schemeClr val="accent3">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4</xdr:col>
      <xdr:colOff>4076700</xdr:colOff>
      <xdr:row>6</xdr:row>
      <xdr:rowOff>160020</xdr:rowOff>
    </xdr:from>
    <xdr:to>
      <xdr:col>6</xdr:col>
      <xdr:colOff>518160</xdr:colOff>
      <xdr:row>10</xdr:row>
      <xdr:rowOff>45720</xdr:rowOff>
    </xdr:to>
    <xdr:sp macro="" textlink="">
      <xdr:nvSpPr>
        <xdr:cNvPr id="18" name="Rectangle 17">
          <a:extLst>
            <a:ext uri="{FF2B5EF4-FFF2-40B4-BE49-F238E27FC236}">
              <a16:creationId xmlns:a16="http://schemas.microsoft.com/office/drawing/2014/main" id="{B0E995DF-CCD2-A1B0-7399-C54EC3360F3F}"/>
            </a:ext>
          </a:extLst>
        </xdr:cNvPr>
        <xdr:cNvSpPr/>
      </xdr:nvSpPr>
      <xdr:spPr>
        <a:xfrm>
          <a:off x="8709660" y="1676400"/>
          <a:ext cx="1676400" cy="693420"/>
        </a:xfrm>
        <a:prstGeom prst="rect">
          <a:avLst/>
        </a:prstGeom>
        <a:noFill/>
        <a:ln>
          <a:solidFill>
            <a:schemeClr val="accent3">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7</xdr:col>
      <xdr:colOff>152400</xdr:colOff>
      <xdr:row>6</xdr:row>
      <xdr:rowOff>175260</xdr:rowOff>
    </xdr:from>
    <xdr:to>
      <xdr:col>10</xdr:col>
      <xdr:colOff>0</xdr:colOff>
      <xdr:row>10</xdr:row>
      <xdr:rowOff>60960</xdr:rowOff>
    </xdr:to>
    <xdr:sp macro="" textlink="">
      <xdr:nvSpPr>
        <xdr:cNvPr id="19" name="Rectangle 18">
          <a:extLst>
            <a:ext uri="{FF2B5EF4-FFF2-40B4-BE49-F238E27FC236}">
              <a16:creationId xmlns:a16="http://schemas.microsoft.com/office/drawing/2014/main" id="{0C361D70-F307-4DB7-B346-A247DCB75EAA}"/>
            </a:ext>
          </a:extLst>
        </xdr:cNvPr>
        <xdr:cNvSpPr/>
      </xdr:nvSpPr>
      <xdr:spPr>
        <a:xfrm>
          <a:off x="10629900" y="1691640"/>
          <a:ext cx="1676400" cy="693420"/>
        </a:xfrm>
        <a:prstGeom prst="rect">
          <a:avLst/>
        </a:prstGeom>
        <a:noFill/>
        <a:ln>
          <a:solidFill>
            <a:schemeClr val="accent3">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4</xdr:col>
      <xdr:colOff>4076700</xdr:colOff>
      <xdr:row>12</xdr:row>
      <xdr:rowOff>137160</xdr:rowOff>
    </xdr:from>
    <xdr:to>
      <xdr:col>6</xdr:col>
      <xdr:colOff>518160</xdr:colOff>
      <xdr:row>16</xdr:row>
      <xdr:rowOff>22860</xdr:rowOff>
    </xdr:to>
    <xdr:sp macro="" textlink="">
      <xdr:nvSpPr>
        <xdr:cNvPr id="20" name="Rectangle 19">
          <a:extLst>
            <a:ext uri="{FF2B5EF4-FFF2-40B4-BE49-F238E27FC236}">
              <a16:creationId xmlns:a16="http://schemas.microsoft.com/office/drawing/2014/main" id="{58513291-DCD7-4A9E-8A29-8ECDB4BD0ABD}"/>
            </a:ext>
          </a:extLst>
        </xdr:cNvPr>
        <xdr:cNvSpPr/>
      </xdr:nvSpPr>
      <xdr:spPr>
        <a:xfrm>
          <a:off x="8709660" y="2827020"/>
          <a:ext cx="1676400" cy="693420"/>
        </a:xfrm>
        <a:prstGeom prst="rect">
          <a:avLst/>
        </a:prstGeom>
        <a:noFill/>
        <a:ln>
          <a:solidFill>
            <a:schemeClr val="accent3">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7</xdr:col>
      <xdr:colOff>175260</xdr:colOff>
      <xdr:row>12</xdr:row>
      <xdr:rowOff>114300</xdr:rowOff>
    </xdr:from>
    <xdr:to>
      <xdr:col>10</xdr:col>
      <xdr:colOff>22860</xdr:colOff>
      <xdr:row>16</xdr:row>
      <xdr:rowOff>0</xdr:rowOff>
    </xdr:to>
    <xdr:sp macro="" textlink="">
      <xdr:nvSpPr>
        <xdr:cNvPr id="21" name="Rectangle 20">
          <a:extLst>
            <a:ext uri="{FF2B5EF4-FFF2-40B4-BE49-F238E27FC236}">
              <a16:creationId xmlns:a16="http://schemas.microsoft.com/office/drawing/2014/main" id="{D5649641-4F5C-4355-BFE0-CFADAAE62959}"/>
            </a:ext>
          </a:extLst>
        </xdr:cNvPr>
        <xdr:cNvSpPr/>
      </xdr:nvSpPr>
      <xdr:spPr>
        <a:xfrm>
          <a:off x="10652760" y="2804160"/>
          <a:ext cx="1676400" cy="693420"/>
        </a:xfrm>
        <a:prstGeom prst="rect">
          <a:avLst/>
        </a:prstGeom>
        <a:noFill/>
        <a:ln>
          <a:solidFill>
            <a:schemeClr val="accent3">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0</xdr:col>
      <xdr:colOff>15240</xdr:colOff>
      <xdr:row>2</xdr:row>
      <xdr:rowOff>137160</xdr:rowOff>
    </xdr:from>
    <xdr:to>
      <xdr:col>3</xdr:col>
      <xdr:colOff>2034540</xdr:colOff>
      <xdr:row>15</xdr:row>
      <xdr:rowOff>91440</xdr:rowOff>
    </xdr:to>
    <xdr:graphicFrame macro="">
      <xdr:nvGraphicFramePr>
        <xdr:cNvPr id="22" name="Chart 21">
          <a:extLst>
            <a:ext uri="{FF2B5EF4-FFF2-40B4-BE49-F238E27FC236}">
              <a16:creationId xmlns:a16="http://schemas.microsoft.com/office/drawing/2014/main" id="{EE7F8A53-C511-4A7F-AA99-84DCBFC12A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2057400</xdr:colOff>
      <xdr:row>2</xdr:row>
      <xdr:rowOff>129540</xdr:rowOff>
    </xdr:from>
    <xdr:to>
      <xdr:col>4</xdr:col>
      <xdr:colOff>3261360</xdr:colOff>
      <xdr:row>15</xdr:row>
      <xdr:rowOff>83820</xdr:rowOff>
    </xdr:to>
    <xdr:graphicFrame macro="">
      <xdr:nvGraphicFramePr>
        <xdr:cNvPr id="23" name="Chart 22">
          <a:extLst>
            <a:ext uri="{FF2B5EF4-FFF2-40B4-BE49-F238E27FC236}">
              <a16:creationId xmlns:a16="http://schemas.microsoft.com/office/drawing/2014/main" id="{47338504-2BE7-415A-9E95-1E691F7D62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15</xdr:row>
      <xdr:rowOff>144780</xdr:rowOff>
    </xdr:from>
    <xdr:to>
      <xdr:col>3</xdr:col>
      <xdr:colOff>2065020</xdr:colOff>
      <xdr:row>30</xdr:row>
      <xdr:rowOff>129540</xdr:rowOff>
    </xdr:to>
    <xdr:graphicFrame macro="">
      <xdr:nvGraphicFramePr>
        <xdr:cNvPr id="24" name="Chart 23">
          <a:extLst>
            <a:ext uri="{FF2B5EF4-FFF2-40B4-BE49-F238E27FC236}">
              <a16:creationId xmlns:a16="http://schemas.microsoft.com/office/drawing/2014/main" id="{917270DC-7C81-4E7F-A902-3081DA0017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2095500</xdr:colOff>
      <xdr:row>15</xdr:row>
      <xdr:rowOff>152400</xdr:rowOff>
    </xdr:from>
    <xdr:to>
      <xdr:col>4</xdr:col>
      <xdr:colOff>3276600</xdr:colOff>
      <xdr:row>30</xdr:row>
      <xdr:rowOff>137160</xdr:rowOff>
    </xdr:to>
    <xdr:graphicFrame macro="">
      <xdr:nvGraphicFramePr>
        <xdr:cNvPr id="25" name="Chart 24">
          <a:extLst>
            <a:ext uri="{FF2B5EF4-FFF2-40B4-BE49-F238E27FC236}">
              <a16:creationId xmlns:a16="http://schemas.microsoft.com/office/drawing/2014/main" id="{DD063E4B-9AA0-42EE-9696-E1422936EB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4</xdr:col>
      <xdr:colOff>3825240</xdr:colOff>
      <xdr:row>16</xdr:row>
      <xdr:rowOff>114300</xdr:rowOff>
    </xdr:from>
    <xdr:to>
      <xdr:col>7</xdr:col>
      <xdr:colOff>7620</xdr:colOff>
      <xdr:row>27</xdr:row>
      <xdr:rowOff>22859</xdr:rowOff>
    </xdr:to>
    <mc:AlternateContent xmlns:mc="http://schemas.openxmlformats.org/markup-compatibility/2006">
      <mc:Choice xmlns:a14="http://schemas.microsoft.com/office/drawing/2010/main" Requires="a14">
        <xdr:graphicFrame macro="">
          <xdr:nvGraphicFramePr>
            <xdr:cNvPr id="26" name="Warehouse_ID">
              <a:extLst>
                <a:ext uri="{FF2B5EF4-FFF2-40B4-BE49-F238E27FC236}">
                  <a16:creationId xmlns:a16="http://schemas.microsoft.com/office/drawing/2014/main" id="{AB905866-D51E-4498-8976-410CDC6CC4E1}"/>
                </a:ext>
              </a:extLst>
            </xdr:cNvPr>
            <xdr:cNvGraphicFramePr/>
          </xdr:nvGraphicFramePr>
          <xdr:xfrm>
            <a:off x="0" y="0"/>
            <a:ext cx="0" cy="0"/>
          </xdr:xfrm>
          <a:graphic>
            <a:graphicData uri="http://schemas.microsoft.com/office/drawing/2010/slicer">
              <sle:slicer xmlns:sle="http://schemas.microsoft.com/office/drawing/2010/slicer" name="Warehouse_ID"/>
            </a:graphicData>
          </a:graphic>
        </xdr:graphicFrame>
      </mc:Choice>
      <mc:Fallback>
        <xdr:sp macro="" textlink="">
          <xdr:nvSpPr>
            <xdr:cNvPr id="0" name=""/>
            <xdr:cNvSpPr>
              <a:spLocks noTextEdit="1"/>
            </xdr:cNvSpPr>
          </xdr:nvSpPr>
          <xdr:spPr>
            <a:xfrm>
              <a:off x="8458200" y="3611880"/>
              <a:ext cx="2026920" cy="1920239"/>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205740</xdr:colOff>
      <xdr:row>16</xdr:row>
      <xdr:rowOff>129540</xdr:rowOff>
    </xdr:from>
    <xdr:to>
      <xdr:col>10</xdr:col>
      <xdr:colOff>205740</xdr:colOff>
      <xdr:row>27</xdr:row>
      <xdr:rowOff>0</xdr:rowOff>
    </xdr:to>
    <mc:AlternateContent xmlns:mc="http://schemas.openxmlformats.org/markup-compatibility/2006">
      <mc:Choice xmlns:a14="http://schemas.microsoft.com/office/drawing/2010/main" Requires="a14">
        <xdr:graphicFrame macro="">
          <xdr:nvGraphicFramePr>
            <xdr:cNvPr id="27" name="Product_Category">
              <a:extLst>
                <a:ext uri="{FF2B5EF4-FFF2-40B4-BE49-F238E27FC236}">
                  <a16:creationId xmlns:a16="http://schemas.microsoft.com/office/drawing/2014/main" id="{B5A98A9F-38C2-44CA-8E2C-7B234992D158}"/>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dr:sp macro="" textlink="">
          <xdr:nvSpPr>
            <xdr:cNvPr id="0" name=""/>
            <xdr:cNvSpPr>
              <a:spLocks noTextEdit="1"/>
            </xdr:cNvSpPr>
          </xdr:nvSpPr>
          <xdr:spPr>
            <a:xfrm>
              <a:off x="10683240" y="3627120"/>
              <a:ext cx="1828800" cy="1882140"/>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ffan Nagani" refreshedDate="46141.616101388892" createdVersion="8" refreshedVersion="8" minRefreshableVersion="3" recordCount="488" xr:uid="{0CC0AC85-59E9-4AC0-BAA6-55566023EF70}">
  <cacheSource type="worksheet">
    <worksheetSource name="Table1"/>
  </cacheSource>
  <cacheFields count="14">
    <cacheField name="Order_ID" numFmtId="0">
      <sharedItems count="488">
        <s v="ORD-0001"/>
        <s v="ORD-0002"/>
        <s v="ORD-0003"/>
        <s v="ORD-0004"/>
        <s v="ORD-0005"/>
        <s v="ORD-0006"/>
        <s v="ORD-0007"/>
        <s v="ORD-0008"/>
        <s v="ORD-0009"/>
        <s v="ORD-0010"/>
        <s v="ORD-0011"/>
        <s v="ORD-0012"/>
        <s v="ORD-0013"/>
        <s v="ORD-0014"/>
        <s v="ORD-0015"/>
        <s v="ORD-0016"/>
        <s v="ORD-0017"/>
        <s v="ORD-0018"/>
        <s v="ORD-0019"/>
        <s v="ORD-0020"/>
        <s v="ORD-0021"/>
        <s v="ORD-0022"/>
        <s v="ORD-0023"/>
        <s v="ORD-0024"/>
        <s v="ORD-0025"/>
        <s v="ORD-0026"/>
        <s v="ORD-0027"/>
        <s v="ORD-0028"/>
        <s v="ORD-0029"/>
        <s v="ORD-0030"/>
        <s v="ORD-0031"/>
        <s v="ORD-0032"/>
        <s v="ORD-0033"/>
        <s v="ORD-0034"/>
        <s v="ORD-0035"/>
        <s v="ORD-0036"/>
        <s v="ORD-0037"/>
        <s v="ORD-0038"/>
        <s v="ORD-0039"/>
        <s v="ORD-0040"/>
        <s v="ORD-0041"/>
        <s v="ORD-0042"/>
        <s v="ORD-0043"/>
        <s v="ORD-0044"/>
        <s v="ORD-0045"/>
        <s v="ORD-0046"/>
        <s v="ORD-0047"/>
        <s v="ORD-0048"/>
        <s v="ORD-0049"/>
        <s v="ORD-0050"/>
        <s v="ORD-0051"/>
        <s v="ORD-0052"/>
        <s v="ORD-0053"/>
        <s v="ORD-0054"/>
        <s v="ORD-0055"/>
        <s v="ORD-0056"/>
        <s v="ORD-0057"/>
        <s v="ORD-0058"/>
        <s v="ORD-0059"/>
        <s v="ORD-0060"/>
        <s v="ORD-0061"/>
        <s v="ORD-0062"/>
        <s v="ORD-0063"/>
        <s v="ORD-0064"/>
        <s v="ORD-0065"/>
        <s v="ORD-0066"/>
        <s v="ORD-0067"/>
        <s v="ORD-0068"/>
        <s v="ORD-0069"/>
        <s v="ORD-0070"/>
        <s v="ORD-0071"/>
        <s v="ORD-0072"/>
        <s v="ORD-0073"/>
        <s v="ORD-0074"/>
        <s v="ORD-0075"/>
        <s v="ORD-0077"/>
        <s v="ORD-0078"/>
        <s v="ORD-0079"/>
        <s v="ORD-0080"/>
        <s v="ORD-0081"/>
        <s v="ORD-0082"/>
        <s v="ORD-0083"/>
        <s v="ORD-0084"/>
        <s v="ORD-0085"/>
        <s v="ORD-0086"/>
        <s v="ORD-0087"/>
        <s v="ORD-0088"/>
        <s v="ORD-0089"/>
        <s v="ORD-0090"/>
        <s v="ORD-0091"/>
        <s v="ORD-0092"/>
        <s v="ORD-0093"/>
        <s v="ORD-0094"/>
        <s v="ORD-0095"/>
        <s v="ORD-0096"/>
        <s v="ORD-0097"/>
        <s v="ORD-0098"/>
        <s v="ORD-0099"/>
        <s v="ORD-0100"/>
        <s v="ORD-0101"/>
        <s v="ORD-0102"/>
        <s v="ORD-0103"/>
        <s v="ORD-0104"/>
        <s v="ORD-0105"/>
        <s v="ORD-0106"/>
        <s v="ORD-0107"/>
        <s v="ORD-0108"/>
        <s v="ORD-0109"/>
        <s v="ORD-0110"/>
        <s v="ORD-0111"/>
        <s v="ORD-0112"/>
        <s v="ORD-0113"/>
        <s v="ORD-0114"/>
        <s v="ORD-0115"/>
        <s v="ORD-0116"/>
        <s v="ORD-0117"/>
        <s v="ORD-0118"/>
        <s v="ORD-0119"/>
        <s v="ORD-0120"/>
        <s v="ORD-0121"/>
        <s v="ORD-0122"/>
        <s v="ORD-0123"/>
        <s v="ORD-0124"/>
        <s v="ORD-0125"/>
        <s v="ORD-0126"/>
        <s v="ORD-0127"/>
        <s v="ORD-0128"/>
        <s v="ORD-0129"/>
        <s v="ORD-0130"/>
        <s v="ORD-0131"/>
        <s v="ORD-0132"/>
        <s v="ORD-0133"/>
        <s v="ORD-0134"/>
        <s v="ORD-0135"/>
        <s v="ORD-0136"/>
        <s v="ORD-0137"/>
        <s v="ORD-0138"/>
        <s v="ORD-0139"/>
        <s v="ORD-0140"/>
        <s v="ORD-0141"/>
        <s v="ORD-0142"/>
        <s v="ORD-0143"/>
        <s v="ORD-0144"/>
        <s v="ORD-0145"/>
        <s v="ORD-0146"/>
        <s v="ORD-0147"/>
        <s v="ORD-0149"/>
        <s v="ORD-0150"/>
        <s v="ORD-0151"/>
        <s v="ORD-0152"/>
        <s v="ORD-0153"/>
        <s v="ORD-0154"/>
        <s v="ORD-0155"/>
        <s v="ORD-0156"/>
        <s v="ORD-0157"/>
        <s v="ORD-0158"/>
        <s v="ORD-0159"/>
        <s v="ORD-0160"/>
        <s v="ORD-0161"/>
        <s v="ORD-0162"/>
        <s v="ORD-0163"/>
        <s v="ORD-0164"/>
        <s v="ORD-0165"/>
        <s v="ORD-0166"/>
        <s v="ORD-0167"/>
        <s v="ORD-0168"/>
        <s v="ORD-0169"/>
        <s v="ORD-0170"/>
        <s v="ORD-0171"/>
        <s v="ORD-0172"/>
        <s v="ORD-0173"/>
        <s v="ORD-0174"/>
        <s v="ORD-0175"/>
        <s v="ORD-0176"/>
        <s v="ORD-0177"/>
        <s v="ORD-0178"/>
        <s v="ORD-0179"/>
        <s v="ORD-0180"/>
        <s v="ORD-0181"/>
        <s v="ORD-0182"/>
        <s v="ORD-0183"/>
        <s v="ORD-0184"/>
        <s v="ORD-0185"/>
        <s v="ORD-0186"/>
        <s v="ORD-0187"/>
        <s v="ORD-0188"/>
        <s v="ORD-0189"/>
        <s v="ORD-0190"/>
        <s v="ORD-0191"/>
        <s v="ORD-0192"/>
        <s v="ORD-0193"/>
        <s v="ORD-0194"/>
        <s v="ORD-0195"/>
        <s v="ORD-0196"/>
        <s v="ORD-0198"/>
        <s v="ORD-0199"/>
        <s v="ORD-0201"/>
        <s v="ORD-0202"/>
        <s v="ORD-0203"/>
        <s v="ORD-0204"/>
        <s v="ORD-0205"/>
        <s v="ORD-0207"/>
        <s v="ORD-0208"/>
        <s v="ORD-0209"/>
        <s v="ORD-0210"/>
        <s v="ORD-0211"/>
        <s v="ORD-0212"/>
        <s v="ORD-0213"/>
        <s v="ORD-0214"/>
        <s v="ORD-0215"/>
        <s v="ORD-0216"/>
        <s v="ORD-0217"/>
        <s v="ORD-0218"/>
        <s v="ORD-0219"/>
        <s v="ORD-0220"/>
        <s v="ORD-0221"/>
        <s v="ORD-0222"/>
        <s v="ORD-0223"/>
        <s v="ORD-0224"/>
        <s v="ORD-0225"/>
        <s v="ORD-0226"/>
        <s v="ORD-0227"/>
        <s v="ORD-0228"/>
        <s v="ORD-0229"/>
        <s v="ORD-0230"/>
        <s v="ORD-0231"/>
        <s v="ORD-0232"/>
        <s v="ORD-0233"/>
        <s v="ORD-0234"/>
        <s v="ORD-0235"/>
        <s v="ORD-0236"/>
        <s v="ORD-0237"/>
        <s v="ORD-0238"/>
        <s v="ORD-0239"/>
        <s v="ORD-0240"/>
        <s v="ORD-0241"/>
        <s v="ORD-0242"/>
        <s v="ORD-0243"/>
        <s v="ORD-0244"/>
        <s v="ORD-0245"/>
        <s v="ORD-0246"/>
        <s v="ORD-0247"/>
        <s v="ORD-0248"/>
        <s v="ORD-0249"/>
        <s v="ORD-0250"/>
        <s v="ORD-0251"/>
        <s v="ORD-0252"/>
        <s v="ORD-0253"/>
        <s v="ORD-0255"/>
        <s v="ORD-0256"/>
        <s v="ORD-0257"/>
        <s v="ORD-0258"/>
        <s v="ORD-0259"/>
        <s v="ORD-0260"/>
        <s v="ORD-0261"/>
        <s v="ORD-0262"/>
        <s v="ORD-0263"/>
        <s v="ORD-0264"/>
        <s v="ORD-0265"/>
        <s v="ORD-0266"/>
        <s v="ORD-0267"/>
        <s v="ORD-0268"/>
        <s v="ORD-0269"/>
        <s v="ORD-0270"/>
        <s v="ORD-0271"/>
        <s v="ORD-0272"/>
        <s v="ORD-0273"/>
        <s v="ORD-0274"/>
        <s v="ORD-0275"/>
        <s v="ORD-0277"/>
        <s v="ORD-0278"/>
        <s v="ORD-0279"/>
        <s v="ORD-0280"/>
        <s v="ORD-0281"/>
        <s v="ORD-0282"/>
        <s v="ORD-0283"/>
        <s v="ORD-0284"/>
        <s v="ORD-0285"/>
        <s v="ORD-0286"/>
        <s v="ORD-0288"/>
        <s v="ORD-0289"/>
        <s v="ORD-0290"/>
        <s v="ORD-0291"/>
        <s v="ORD-0292"/>
        <s v="ORD-0293"/>
        <s v="ORD-0294"/>
        <s v="ORD-0295"/>
        <s v="ORD-0296"/>
        <s v="ORD-0297"/>
        <s v="ORD-0298"/>
        <s v="ORD-0299"/>
        <s v="ORD-0300"/>
        <s v="ORD-0301"/>
        <s v="ORD-0302"/>
        <s v="ORD-0303"/>
        <s v="ORD-0304"/>
        <s v="ORD-0305"/>
        <s v="ORD-0306"/>
        <s v="ORD-0307"/>
        <s v="ORD-0308"/>
        <s v="ORD-0309"/>
        <s v="ORD-0310"/>
        <s v="ORD-0311"/>
        <s v="ORD-0312"/>
        <s v="ORD-0313"/>
        <s v="ORD-0314"/>
        <s v="ORD-0316"/>
        <s v="ORD-0317"/>
        <s v="ORD-0318"/>
        <s v="ORD-0319"/>
        <s v="ORD-0320"/>
        <s v="ORD-0321"/>
        <s v="ORD-0322"/>
        <s v="ORD-0323"/>
        <s v="ORD-0324"/>
        <s v="ORD-0325"/>
        <s v="ORD-0326"/>
        <s v="ORD-0327"/>
        <s v="ORD-0328"/>
        <s v="ORD-0329"/>
        <s v="ORD-0330"/>
        <s v="ORD-0331"/>
        <s v="ORD-0332"/>
        <s v="ORD-0333"/>
        <s v="ORD-0334"/>
        <s v="ORD-0335"/>
        <s v="ORD-0336"/>
        <s v="ORD-0337"/>
        <s v="ORD-0338"/>
        <s v="ORD-0339"/>
        <s v="ORD-0340"/>
        <s v="ORD-0341"/>
        <s v="ORD-0342"/>
        <s v="ORD-0343"/>
        <s v="ORD-0344"/>
        <s v="ORD-0345"/>
        <s v="ORD-0346"/>
        <s v="ORD-0347"/>
        <s v="ORD-0348"/>
        <s v="ORD-0349"/>
        <s v="ORD-0350"/>
        <s v="ORD-0351"/>
        <s v="ORD-0352"/>
        <s v="ORD-0353"/>
        <s v="ORD-0354"/>
        <s v="ORD-0355"/>
        <s v="ORD-0356"/>
        <s v="ORD-0357"/>
        <s v="ORD-0358"/>
        <s v="ORD-0359"/>
        <s v="ORD-0360"/>
        <s v="ORD-0361"/>
        <s v="ORD-0362"/>
        <s v="ORD-0363"/>
        <s v="ORD-0364"/>
        <s v="ORD-0365"/>
        <s v="ORD-0366"/>
        <s v="ORD-0367"/>
        <s v="ORD-0368"/>
        <s v="ORD-0369"/>
        <s v="ORD-0370"/>
        <s v="ORD-0371"/>
        <s v="ORD-0372"/>
        <s v="ORD-0374"/>
        <s v="ORD-0375"/>
        <s v="ORD-0376"/>
        <s v="ORD-0377"/>
        <s v="ORD-0378"/>
        <s v="ORD-0379"/>
        <s v="ORD-0380"/>
        <s v="ORD-0381"/>
        <s v="ORD-0382"/>
        <s v="ORD-0383"/>
        <s v="ORD-0384"/>
        <s v="ORD-0385"/>
        <s v="ORD-0386"/>
        <s v="ORD-0387"/>
        <s v="ORD-0388"/>
        <s v="ORD-0389"/>
        <s v="ORD-0390"/>
        <s v="ORD-0391"/>
        <s v="ORD-0392"/>
        <s v="ORD-0393"/>
        <s v="ORD-0394"/>
        <s v="ORD-0395"/>
        <s v="ORD-0396"/>
        <s v="ORD-0397"/>
        <s v="ORD-0398"/>
        <s v="ORD-0399"/>
        <s v="ORD-0400"/>
        <s v="ORD-0401"/>
        <s v="ORD-0402"/>
        <s v="ORD-0403"/>
        <s v="ORD-0404"/>
        <s v="ORD-0405"/>
        <s v="ORD-0406"/>
        <s v="ORD-0407"/>
        <s v="ORD-0408"/>
        <s v="ORD-0409"/>
        <s v="ORD-0410"/>
        <s v="ORD-0411"/>
        <s v="ORD-0412"/>
        <s v="ORD-0413"/>
        <s v="ORD-0414"/>
        <s v="ORD-0415"/>
        <s v="ORD-0416"/>
        <s v="ORD-0417"/>
        <s v="ORD-0418"/>
        <s v="ORD-0419"/>
        <s v="ORD-0420"/>
        <s v="ORD-0421"/>
        <s v="ORD-0422"/>
        <s v="ORD-0423"/>
        <s v="ORD-0424"/>
        <s v="ORD-0425"/>
        <s v="ORD-0426"/>
        <s v="ORD-0427"/>
        <s v="ORD-0428"/>
        <s v="ORD-0429"/>
        <s v="ORD-0430"/>
        <s v="ORD-0431"/>
        <s v="ORD-0432"/>
        <s v="ORD-0433"/>
        <s v="ORD-0434"/>
        <s v="ORD-0435"/>
        <s v="ORD-0436"/>
        <s v="ORD-0437"/>
        <s v="ORD-0438"/>
        <s v="ORD-0439"/>
        <s v="ORD-0440"/>
        <s v="ORD-0441"/>
        <s v="ORD-0443"/>
        <s v="ORD-0444"/>
        <s v="ORD-0445"/>
        <s v="ORD-0446"/>
        <s v="ORD-0448"/>
        <s v="ORD-0449"/>
        <s v="ORD-0450"/>
        <s v="ORD-0451"/>
        <s v="ORD-0452"/>
        <s v="ORD-0453"/>
        <s v="ORD-0454"/>
        <s v="ORD-0455"/>
        <s v="ORD-0456"/>
        <s v="ORD-0457"/>
        <s v="ORD-0458"/>
        <s v="ORD-0459"/>
        <s v="ORD-0460"/>
        <s v="ORD-0461"/>
        <s v="ORD-0462"/>
        <s v="ORD-0463"/>
        <s v="ORD-0464"/>
        <s v="ORD-0465"/>
        <s v="ORD-0466"/>
        <s v="ORD-0467"/>
        <s v="ORD-0468"/>
        <s v="ORD-0469"/>
        <s v="ORD-0470"/>
        <s v="ORD-0471"/>
        <s v="ORD-0472"/>
        <s v="ORD-0473"/>
        <s v="ORD-0474"/>
        <s v="ORD-0475"/>
        <s v="ORD-0476"/>
        <s v="ORD-0477"/>
        <s v="ORD-0478"/>
        <s v="ORD-0479"/>
        <s v="ORD-0480"/>
        <s v="ORD-0481"/>
        <s v="ORD-0482"/>
        <s v="ORD-0483"/>
        <s v="ORD-0484"/>
        <s v="ORD-0485"/>
        <s v="ORD-0486"/>
        <s v="ORD-0487"/>
        <s v="ORD-0488"/>
        <s v="ORD-0489"/>
        <s v="ORD-0490"/>
        <s v="ORD-0491"/>
        <s v="ORD-0492"/>
        <s v="ORD-0493"/>
        <s v="ORD-0494"/>
        <s v="ORD-0495"/>
        <s v="ORD-0496"/>
        <s v="ORD-0497"/>
        <s v="ORD-0498"/>
        <s v="ORD-0499"/>
        <s v="ORD-0500"/>
      </sharedItems>
    </cacheField>
    <cacheField name="Order_Date" numFmtId="14">
      <sharedItems containsSemiMixedTypes="0" containsNonDate="0" containsDate="1" containsString="0" minDate="2023-01-01T00:00:00" maxDate="2024-01-01T00:00:00" count="260">
        <d v="2023-05-06T00:00:00"/>
        <d v="2023-09-16T00:00:00"/>
        <d v="2023-06-24T00:00:00"/>
        <d v="2023-10-02T00:00:00"/>
        <d v="2023-12-05T00:00:00"/>
        <d v="2023-07-01T00:00:00"/>
        <d v="2023-07-14T00:00:00"/>
        <d v="2023-05-18T00:00:00"/>
        <d v="2023-03-13T00:00:00"/>
        <d v="2023-09-10T00:00:00"/>
        <d v="2023-08-28T00:00:00"/>
        <d v="2023-08-11T00:00:00"/>
        <d v="2023-11-08T00:00:00"/>
        <d v="2023-02-27T00:00:00"/>
        <d v="2023-03-06T00:00:00"/>
        <d v="2023-12-10T00:00:00"/>
        <d v="2023-01-04T00:00:00"/>
        <d v="2023-10-04T00:00:00"/>
        <d v="2023-08-05T00:00:00"/>
        <d v="2023-04-08T00:00:00"/>
        <d v="2023-01-08T00:00:00"/>
        <d v="2023-07-19T00:00:00"/>
        <d v="2023-06-01T00:00:00"/>
        <d v="2023-03-22T00:00:00"/>
        <d v="2023-05-07T00:00:00"/>
        <d v="2023-05-03T00:00:00"/>
        <d v="2023-10-16T00:00:00"/>
        <d v="2023-05-16T00:00:00"/>
        <d v="2023-09-08T00:00:00"/>
        <d v="2023-08-15T00:00:00"/>
        <d v="2023-10-10T00:00:00"/>
        <d v="2023-12-08T00:00:00"/>
        <d v="2023-01-13T00:00:00"/>
        <d v="2023-08-29T00:00:00"/>
        <d v="2023-07-05T00:00:00"/>
        <d v="2023-07-12T00:00:00"/>
        <d v="2023-03-10T00:00:00"/>
        <d v="2023-09-13T00:00:00"/>
        <d v="2023-02-03T00:00:00"/>
        <d v="2023-01-24T00:00:00"/>
        <d v="2023-10-05T00:00:00"/>
        <d v="2023-12-19T00:00:00"/>
        <d v="2023-12-04T00:00:00"/>
        <d v="2023-04-01T00:00:00"/>
        <d v="2023-11-01T00:00:00"/>
        <d v="2023-08-19T00:00:00"/>
        <d v="2023-05-01T00:00:00"/>
        <d v="2023-07-28T00:00:00"/>
        <d v="2023-09-02T00:00:00"/>
        <d v="2023-05-20T00:00:00"/>
        <d v="2023-10-01T00:00:00"/>
        <d v="2023-05-14T00:00:00"/>
        <d v="2023-01-11T00:00:00"/>
        <d v="2023-11-07T00:00:00"/>
        <d v="2023-12-13T00:00:00"/>
        <d v="2023-12-17T00:00:00"/>
        <d v="2023-09-05T00:00:00"/>
        <d v="2023-10-19T00:00:00"/>
        <d v="2023-11-02T00:00:00"/>
        <d v="2023-08-18T00:00:00"/>
        <d v="2023-06-26T00:00:00"/>
        <d v="2023-03-03T00:00:00"/>
        <d v="2023-02-22T00:00:00"/>
        <d v="2023-07-25T00:00:00"/>
        <d v="2023-10-13T00:00:00"/>
        <d v="2023-11-14T00:00:00"/>
        <d v="2023-07-29T00:00:00"/>
        <d v="2023-03-26T00:00:00"/>
        <d v="2023-11-03T00:00:00"/>
        <d v="2023-01-21T00:00:00"/>
        <d v="2023-01-19T00:00:00"/>
        <d v="2023-07-31T00:00:00"/>
        <d v="2023-05-28T00:00:00"/>
        <d v="2023-09-18T00:00:00"/>
        <d v="2023-08-01T00:00:00"/>
        <d v="2023-10-03T00:00:00"/>
        <d v="2023-04-30T00:00:00"/>
        <d v="2023-02-08T00:00:00"/>
        <d v="2023-08-16T00:00:00"/>
        <d v="2023-03-29T00:00:00"/>
        <d v="2023-08-22T00:00:00"/>
        <d v="2023-06-08T00:00:00"/>
        <d v="2023-03-09T00:00:00"/>
        <d v="2023-02-28T00:00:00"/>
        <d v="2023-02-16T00:00:00"/>
        <d v="2023-12-12T00:00:00"/>
        <d v="2023-11-29T00:00:00"/>
        <d v="2023-07-09T00:00:00"/>
        <d v="2023-05-24T00:00:00"/>
        <d v="2023-02-01T00:00:00"/>
        <d v="2023-05-05T00:00:00"/>
        <d v="2023-05-02T00:00:00"/>
        <d v="2023-03-17T00:00:00"/>
        <d v="2023-11-06T00:00:00"/>
        <d v="2023-04-27T00:00:00"/>
        <d v="2023-02-04T00:00:00"/>
        <d v="2023-10-15T00:00:00"/>
        <d v="2023-06-09T00:00:00"/>
        <d v="2023-10-21T00:00:00"/>
        <d v="2023-01-15T00:00:00"/>
        <d v="2023-11-21T00:00:00"/>
        <d v="2023-02-13T00:00:00"/>
        <d v="2023-01-22T00:00:00"/>
        <d v="2023-07-27T00:00:00"/>
        <d v="2023-04-12T00:00:00"/>
        <d v="2023-06-15T00:00:00"/>
        <d v="2023-06-30T00:00:00"/>
        <d v="2023-09-17T00:00:00"/>
        <d v="2023-11-09T00:00:00"/>
        <d v="2023-02-18T00:00:00"/>
        <d v="2023-10-26T00:00:00"/>
        <d v="2023-07-06T00:00:00"/>
        <d v="2023-04-10T00:00:00"/>
        <d v="2023-03-12T00:00:00"/>
        <d v="2023-03-24T00:00:00"/>
        <d v="2023-07-22T00:00:00"/>
        <d v="2023-01-20T00:00:00"/>
        <d v="2023-04-21T00:00:00"/>
        <d v="2023-08-02T00:00:00"/>
        <d v="2023-01-23T00:00:00"/>
        <d v="2023-05-10T00:00:00"/>
        <d v="2023-07-24T00:00:00"/>
        <d v="2023-02-10T00:00:00"/>
        <d v="2023-03-27T00:00:00"/>
        <d v="2023-03-11T00:00:00"/>
        <d v="2023-10-09T00:00:00"/>
        <d v="2023-08-27T00:00:00"/>
        <d v="2023-01-29T00:00:00"/>
        <d v="2023-04-11T00:00:00"/>
        <d v="2023-03-20T00:00:00"/>
        <d v="2023-08-21T00:00:00"/>
        <d v="2023-01-26T00:00:00"/>
        <d v="2023-07-21T00:00:00"/>
        <d v="2023-11-12T00:00:00"/>
        <d v="2023-07-08T00:00:00"/>
        <d v="2023-01-17T00:00:00"/>
        <d v="2023-09-23T00:00:00"/>
        <d v="2023-06-02T00:00:00"/>
        <d v="2023-08-30T00:00:00"/>
        <d v="2023-04-05T00:00:00"/>
        <d v="2023-12-18T00:00:00"/>
        <d v="2023-02-11T00:00:00"/>
        <d v="2023-03-18T00:00:00"/>
        <d v="2023-04-22T00:00:00"/>
        <d v="2023-05-27T00:00:00"/>
        <d v="2023-01-12T00:00:00"/>
        <d v="2023-05-22T00:00:00"/>
        <d v="2023-12-11T00:00:00"/>
        <d v="2023-12-23T00:00:00"/>
        <d v="2023-01-30T00:00:00"/>
        <d v="2023-02-17T00:00:00"/>
        <d v="2023-07-04T00:00:00"/>
        <d v="2023-08-24T00:00:00"/>
        <d v="2023-02-19T00:00:00"/>
        <d v="2023-09-28T00:00:00"/>
        <d v="2023-03-25T00:00:00"/>
        <d v="2023-01-28T00:00:00"/>
        <d v="2023-09-20T00:00:00"/>
        <d v="2023-11-05T00:00:00"/>
        <d v="2023-06-16T00:00:00"/>
        <d v="2023-08-25T00:00:00"/>
        <d v="2023-12-03T00:00:00"/>
        <d v="2023-01-06T00:00:00"/>
        <d v="2023-12-14T00:00:00"/>
        <d v="2023-06-28T00:00:00"/>
        <d v="2023-06-03T00:00:00"/>
        <d v="2023-11-11T00:00:00"/>
        <d v="2023-07-16T00:00:00"/>
        <d v="2023-10-17T00:00:00"/>
        <d v="2023-02-14T00:00:00"/>
        <d v="2023-05-17T00:00:00"/>
        <d v="2023-12-26T00:00:00"/>
        <d v="2023-11-20T00:00:00"/>
        <d v="2023-09-07T00:00:00"/>
        <d v="2023-03-23T00:00:00"/>
        <d v="2023-11-17T00:00:00"/>
        <d v="2023-04-28T00:00:00"/>
        <d v="2023-09-29T00:00:00"/>
        <d v="2023-02-21T00:00:00"/>
        <d v="2023-05-08T00:00:00"/>
        <d v="2023-05-04T00:00:00"/>
        <d v="2023-08-04T00:00:00"/>
        <d v="2023-01-31T00:00:00"/>
        <d v="2023-12-29T00:00:00"/>
        <d v="2023-05-15T00:00:00"/>
        <d v="2023-05-11T00:00:00"/>
        <d v="2023-06-13T00:00:00"/>
        <d v="2023-08-26T00:00:00"/>
        <d v="2023-08-03T00:00:00"/>
        <d v="2023-02-25T00:00:00"/>
        <d v="2023-08-20T00:00:00"/>
        <d v="2023-07-15T00:00:00"/>
        <d v="2023-11-26T00:00:00"/>
        <d v="2023-09-06T00:00:00"/>
        <d v="2023-07-18T00:00:00"/>
        <d v="2023-06-22T00:00:00"/>
        <d v="2023-12-22T00:00:00"/>
        <d v="2023-01-01T00:00:00"/>
        <d v="2023-11-24T00:00:00"/>
        <d v="2023-02-07T00:00:00"/>
        <d v="2023-10-08T00:00:00"/>
        <d v="2023-09-03T00:00:00"/>
        <d v="2023-09-01T00:00:00"/>
        <d v="2023-03-30T00:00:00"/>
        <d v="2023-10-28T00:00:00"/>
        <d v="2023-03-15T00:00:00"/>
        <d v="2023-07-11T00:00:00"/>
        <d v="2023-04-13T00:00:00"/>
        <d v="2023-11-22T00:00:00"/>
        <d v="2023-06-29T00:00:00"/>
        <d v="2023-04-24T00:00:00"/>
        <d v="2023-11-28T00:00:00"/>
        <d v="2023-12-02T00:00:00"/>
        <d v="2023-01-14T00:00:00"/>
        <d v="2023-03-19T00:00:00"/>
        <d v="2023-12-31T00:00:00"/>
        <d v="2023-01-25T00:00:00"/>
        <d v="2023-02-24T00:00:00"/>
        <d v="2023-09-12T00:00:00"/>
        <d v="2023-09-19T00:00:00"/>
        <d v="2023-12-06T00:00:00"/>
        <d v="2023-07-03T00:00:00"/>
        <d v="2023-12-27T00:00:00"/>
        <d v="2023-11-10T00:00:00"/>
        <d v="2023-06-19T00:00:00"/>
        <d v="2023-06-25T00:00:00"/>
        <d v="2023-01-07T00:00:00"/>
        <d v="2023-07-13T00:00:00"/>
        <d v="2023-09-27T00:00:00"/>
        <d v="2023-04-20T00:00:00"/>
        <d v="2023-08-17T00:00:00"/>
        <d v="2023-05-12T00:00:00"/>
        <d v="2023-12-25T00:00:00"/>
        <d v="2023-05-29T00:00:00"/>
        <d v="2023-09-14T00:00:00"/>
        <d v="2023-07-07T00:00:00"/>
        <d v="2023-10-30T00:00:00"/>
        <d v="2023-12-15T00:00:00"/>
        <d v="2023-10-23T00:00:00"/>
        <d v="2023-03-16T00:00:00"/>
        <d v="2023-10-14T00:00:00"/>
        <d v="2023-05-09T00:00:00"/>
        <d v="2023-09-04T00:00:00"/>
        <d v="2023-09-22T00:00:00"/>
        <d v="2023-05-21T00:00:00"/>
        <d v="2023-04-03T00:00:00"/>
        <d v="2023-08-31T00:00:00"/>
        <d v="2023-06-21T00:00:00"/>
        <d v="2023-05-19T00:00:00"/>
        <d v="2023-09-26T00:00:00"/>
        <d v="2023-05-26T00:00:00"/>
        <d v="2023-01-10T00:00:00"/>
        <d v="2023-03-21T00:00:00"/>
        <d v="2023-04-14T00:00:00"/>
        <d v="2023-07-10T00:00:00"/>
        <d v="2023-12-24T00:00:00"/>
        <d v="2023-08-14T00:00:00"/>
        <d v="2023-04-19T00:00:00"/>
        <d v="2023-04-26T00:00:00"/>
        <d v="2023-08-07T00:00:00"/>
      </sharedItems>
    </cacheField>
    <cacheField name="Delivery_Date" numFmtId="14">
      <sharedItems containsSemiMixedTypes="0" containsNonDate="0" containsDate="1" containsString="0" minDate="2023-01-04T00:00:00" maxDate="2024-01-02T00:00:00"/>
    </cacheField>
    <cacheField name="Supplier_Name" numFmtId="0">
      <sharedItems count="8">
        <s v="GREENFIELD FOODS"/>
        <s v="NOVA COLD LOGISTICS "/>
        <s v="PRIME REMOVAL LTD."/>
        <s v="FRESH LINK PARTNERS"/>
        <s v="AGRIFLOW DISTRIBUTORS"/>
        <s v="BLUE STAR WHOLESALE"/>
        <s v="SWIFT CHAIN INC"/>
        <s v="RAPID SUPPLY CO"/>
      </sharedItems>
    </cacheField>
    <cacheField name="Product_Category" numFmtId="0">
      <sharedItems count="5">
        <s v="DAIRY"/>
        <s v="BAKERY"/>
        <s v="BEVERAGES"/>
        <s v="FROZEN"/>
        <s v="PRODUCE"/>
      </sharedItems>
    </cacheField>
    <cacheField name="Warehouse_ID" numFmtId="0">
      <sharedItems containsMixedTypes="1" containsNumber="1" containsInteger="1" minValue="0" maxValue="0" count="6">
        <s v="WH-C"/>
        <s v="WH-B"/>
        <s v="WH-D"/>
        <s v="WH-A"/>
        <s v="WH-E"/>
        <n v="0"/>
      </sharedItems>
    </cacheField>
    <cacheField name="Units_Ordered" numFmtId="0">
      <sharedItems containsSemiMixedTypes="0" containsString="0" containsNumber="1" containsInteger="1" minValue="20" maxValue="9999"/>
    </cacheField>
    <cacheField name="Units_Shipped" numFmtId="0">
      <sharedItems containsSemiMixedTypes="0" containsString="0" containsNumber="1" containsInteger="1" minValue="20" maxValue="9999"/>
    </cacheField>
    <cacheField name="Unit_Revenue" numFmtId="165">
      <sharedItems containsMixedTypes="1" containsNumber="1" minValue="4.8600000000000003" maxValue="27.77"/>
    </cacheField>
    <cacheField name="COGS_Per_Unit" numFmtId="165">
      <sharedItems containsSemiMixedTypes="0" containsString="0" containsNumber="1" minValue="2.82" maxValue="20.72"/>
    </cacheField>
    <cacheField name="Promised_Lead_Time" numFmtId="0">
      <sharedItems containsSemiMixedTypes="0" containsString="0" containsNumber="1" containsInteger="1" minValue="2" maxValue="7"/>
    </cacheField>
    <cacheField name="Inventory_Value_OnHand" numFmtId="165">
      <sharedItems containsSemiMixedTypes="0" containsString="0" containsNumber="1" minValue="0" maxValue="8956.4"/>
    </cacheField>
    <cacheField name="Delivery_Days" numFmtId="0">
      <sharedItems containsMixedTypes="1" containsNumber="1" containsInteger="1" minValue="1" maxValue="176"/>
    </cacheField>
    <cacheField name="On_Time_Flag" numFmtId="0">
      <sharedItems count="3">
        <s v="On Time"/>
        <s v="Late"/>
        <s v="Not Applicable "/>
      </sharedItems>
    </cacheField>
  </cacheFields>
  <extLst>
    <ext xmlns:x14="http://schemas.microsoft.com/office/spreadsheetml/2009/9/main" uri="{725AE2AE-9491-48be-B2B4-4EB974FC3084}">
      <x14:pivotCacheDefinition pivotCacheId="12945484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8">
  <r>
    <x v="0"/>
    <x v="0"/>
    <d v="2023-05-07T00:00:00"/>
    <x v="0"/>
    <x v="0"/>
    <x v="0"/>
    <n v="366"/>
    <n v="366"/>
    <n v="13.53"/>
    <n v="9.0399999999999991"/>
    <n v="4"/>
    <n v="3040.87"/>
    <n v="1"/>
    <x v="0"/>
  </r>
  <r>
    <x v="1"/>
    <x v="1"/>
    <d v="2023-09-18T00:00:00"/>
    <x v="0"/>
    <x v="1"/>
    <x v="1"/>
    <n v="386"/>
    <n v="386"/>
    <n v="9.02"/>
    <n v="5.36"/>
    <n v="4"/>
    <n v="2593.56"/>
    <n v="2"/>
    <x v="0"/>
  </r>
  <r>
    <x v="2"/>
    <x v="2"/>
    <d v="2023-06-25T00:00:00"/>
    <x v="1"/>
    <x v="1"/>
    <x v="2"/>
    <n v="192"/>
    <n v="192"/>
    <n v="8.2200000000000006"/>
    <n v="5.1100000000000003"/>
    <n v="3"/>
    <n v="1085.49"/>
    <n v="1"/>
    <x v="0"/>
  </r>
  <r>
    <x v="3"/>
    <x v="3"/>
    <d v="2023-10-04T00:00:00"/>
    <x v="2"/>
    <x v="0"/>
    <x v="2"/>
    <n v="60"/>
    <n v="60"/>
    <n v="15.57"/>
    <n v="10.49"/>
    <n v="3"/>
    <n v="891.87"/>
    <n v="2"/>
    <x v="0"/>
  </r>
  <r>
    <x v="4"/>
    <x v="4"/>
    <d v="2023-12-08T00:00:00"/>
    <x v="3"/>
    <x v="0"/>
    <x v="3"/>
    <n v="60"/>
    <n v="60"/>
    <n v="15.84"/>
    <n v="9.92"/>
    <n v="5"/>
    <n v="697.6"/>
    <n v="3"/>
    <x v="0"/>
  </r>
  <r>
    <x v="5"/>
    <x v="5"/>
    <d v="2023-07-04T00:00:00"/>
    <x v="4"/>
    <x v="1"/>
    <x v="0"/>
    <n v="379"/>
    <n v="379"/>
    <s v="$9.51"/>
    <n v="6.39"/>
    <n v="6"/>
    <n v="2428.31"/>
    <n v="3"/>
    <x v="0"/>
  </r>
  <r>
    <x v="6"/>
    <x v="6"/>
    <d v="2023-07-19T00:00:00"/>
    <x v="3"/>
    <x v="1"/>
    <x v="2"/>
    <n v="132"/>
    <n v="132"/>
    <n v="10.45"/>
    <n v="7.37"/>
    <n v="5"/>
    <n v="1009.25"/>
    <n v="5"/>
    <x v="0"/>
  </r>
  <r>
    <x v="7"/>
    <x v="7"/>
    <d v="2023-05-21T00:00:00"/>
    <x v="1"/>
    <x v="2"/>
    <x v="2"/>
    <n v="387"/>
    <n v="387"/>
    <n v="17.899999999999999"/>
    <n v="11.26"/>
    <n v="3"/>
    <n v="6313.01"/>
    <n v="3"/>
    <x v="0"/>
  </r>
  <r>
    <x v="8"/>
    <x v="8"/>
    <d v="2023-03-18T00:00:00"/>
    <x v="5"/>
    <x v="1"/>
    <x v="0"/>
    <n v="295"/>
    <n v="295"/>
    <n v="9.2100000000000009"/>
    <n v="6.72"/>
    <n v="7"/>
    <n v="2259.2199999999998"/>
    <n v="5"/>
    <x v="0"/>
  </r>
  <r>
    <x v="9"/>
    <x v="9"/>
    <d v="2023-09-11T00:00:00"/>
    <x v="3"/>
    <x v="1"/>
    <x v="4"/>
    <n v="76"/>
    <n v="76"/>
    <n v="7.17"/>
    <n v="4.92"/>
    <n v="5"/>
    <n v="470.33"/>
    <n v="1"/>
    <x v="0"/>
  </r>
  <r>
    <x v="10"/>
    <x v="10"/>
    <d v="2023-08-29T00:00:00"/>
    <x v="6"/>
    <x v="3"/>
    <x v="4"/>
    <n v="368"/>
    <n v="368"/>
    <n v="24.18"/>
    <n v="15.9"/>
    <n v="4"/>
    <n v="6202.83"/>
    <n v="1"/>
    <x v="0"/>
  </r>
  <r>
    <x v="11"/>
    <x v="11"/>
    <d v="2023-08-12T00:00:00"/>
    <x v="4"/>
    <x v="0"/>
    <x v="0"/>
    <n v="389"/>
    <n v="389"/>
    <n v="11.5"/>
    <n v="7.48"/>
    <n v="6"/>
    <n v="2930.64"/>
    <n v="1"/>
    <x v="0"/>
  </r>
  <r>
    <x v="12"/>
    <x v="12"/>
    <d v="2023-11-11T00:00:00"/>
    <x v="0"/>
    <x v="2"/>
    <x v="4"/>
    <n v="102"/>
    <n v="102"/>
    <n v="19.010000000000002"/>
    <n v="12.47"/>
    <n v="4"/>
    <n v="1145.18"/>
    <n v="3"/>
    <x v="0"/>
  </r>
  <r>
    <x v="13"/>
    <x v="13"/>
    <d v="2023-03-02T00:00:00"/>
    <x v="4"/>
    <x v="3"/>
    <x v="3"/>
    <n v="142"/>
    <n v="142"/>
    <n v="26.54"/>
    <n v="19.62"/>
    <n v="6"/>
    <n v="2650.62"/>
    <n v="3"/>
    <x v="0"/>
  </r>
  <r>
    <x v="14"/>
    <x v="14"/>
    <d v="2023-03-10T00:00:00"/>
    <x v="5"/>
    <x v="0"/>
    <x v="4"/>
    <n v="301"/>
    <n v="301"/>
    <n v="13.4"/>
    <n v="9"/>
    <n v="7"/>
    <n v="4005.58"/>
    <n v="4"/>
    <x v="0"/>
  </r>
  <r>
    <x v="15"/>
    <x v="15"/>
    <d v="2023-12-14T00:00:00"/>
    <x v="3"/>
    <x v="2"/>
    <x v="2"/>
    <n v="284"/>
    <n v="284"/>
    <n v="14.23"/>
    <n v="8.01"/>
    <n v="5"/>
    <n v="2076.0700000000002"/>
    <n v="4"/>
    <x v="0"/>
  </r>
  <r>
    <x v="16"/>
    <x v="16"/>
    <d v="2023-01-05T00:00:00"/>
    <x v="3"/>
    <x v="4"/>
    <x v="1"/>
    <n v="137"/>
    <n v="137"/>
    <n v="4.91"/>
    <n v="3.02"/>
    <n v="5"/>
    <n v="500"/>
    <n v="1"/>
    <x v="0"/>
  </r>
  <r>
    <x v="17"/>
    <x v="17"/>
    <d v="2023-10-07T00:00:00"/>
    <x v="2"/>
    <x v="3"/>
    <x v="1"/>
    <n v="315"/>
    <n v="315"/>
    <n v="25.42"/>
    <n v="18.09"/>
    <n v="3"/>
    <n v="5779.53"/>
    <n v="3"/>
    <x v="0"/>
  </r>
  <r>
    <x v="18"/>
    <x v="18"/>
    <d v="2023-08-06T00:00:00"/>
    <x v="0"/>
    <x v="3"/>
    <x v="0"/>
    <n v="364"/>
    <n v="364"/>
    <n v="23.75"/>
    <n v="13.35"/>
    <n v="4"/>
    <n v="6496.67"/>
    <n v="1"/>
    <x v="0"/>
  </r>
  <r>
    <x v="19"/>
    <x v="19"/>
    <d v="2023-04-10T00:00:00"/>
    <x v="0"/>
    <x v="1"/>
    <x v="1"/>
    <n v="236"/>
    <n v="236"/>
    <n v="8.6199999999999992"/>
    <n v="6.25"/>
    <n v="4"/>
    <n v="1394.22"/>
    <n v="2"/>
    <x v="0"/>
  </r>
  <r>
    <x v="20"/>
    <x v="20"/>
    <d v="2023-01-14T00:00:00"/>
    <x v="0"/>
    <x v="0"/>
    <x v="4"/>
    <n v="105"/>
    <n v="105"/>
    <n v="13.07"/>
    <n v="9.4499999999999993"/>
    <n v="4"/>
    <n v="1430.29"/>
    <n v="6"/>
    <x v="1"/>
  </r>
  <r>
    <x v="21"/>
    <x v="21"/>
    <d v="2023-07-21T00:00:00"/>
    <x v="7"/>
    <x v="3"/>
    <x v="3"/>
    <n v="166"/>
    <n v="166"/>
    <n v="27.49"/>
    <n v="20.59"/>
    <n v="2"/>
    <n v="4215.8999999999996"/>
    <n v="2"/>
    <x v="0"/>
  </r>
  <r>
    <x v="22"/>
    <x v="22"/>
    <d v="2023-06-02T00:00:00"/>
    <x v="5"/>
    <x v="1"/>
    <x v="1"/>
    <n v="316"/>
    <n v="316"/>
    <n v="6.69"/>
    <n v="4.0999999999999996"/>
    <n v="7"/>
    <n v="0"/>
    <n v="1"/>
    <x v="0"/>
  </r>
  <r>
    <x v="23"/>
    <x v="23"/>
    <d v="2023-03-27T00:00:00"/>
    <x v="5"/>
    <x v="4"/>
    <x v="4"/>
    <n v="61"/>
    <n v="61"/>
    <s v="$5.05"/>
    <n v="2.85"/>
    <n v="7"/>
    <n v="246.36"/>
    <n v="5"/>
    <x v="0"/>
  </r>
  <r>
    <x v="24"/>
    <x v="24"/>
    <d v="2023-05-08T00:00:00"/>
    <x v="6"/>
    <x v="0"/>
    <x v="4"/>
    <n v="337"/>
    <n v="337"/>
    <n v="14.33"/>
    <n v="9.5"/>
    <n v="4"/>
    <n v="3489.06"/>
    <n v="1"/>
    <x v="0"/>
  </r>
  <r>
    <x v="25"/>
    <x v="25"/>
    <d v="2023-05-04T00:00:00"/>
    <x v="2"/>
    <x v="1"/>
    <x v="0"/>
    <n v="363"/>
    <n v="363"/>
    <n v="8.59"/>
    <n v="6.32"/>
    <n v="3"/>
    <n v="3352.78"/>
    <n v="1"/>
    <x v="0"/>
  </r>
  <r>
    <x v="26"/>
    <x v="26"/>
    <d v="2023-10-20T00:00:00"/>
    <x v="1"/>
    <x v="3"/>
    <x v="4"/>
    <n v="295"/>
    <n v="295"/>
    <n v="19.18"/>
    <n v="14.13"/>
    <n v="3"/>
    <n v="5954.57"/>
    <n v="4"/>
    <x v="1"/>
  </r>
  <r>
    <x v="27"/>
    <x v="23"/>
    <d v="2023-03-27T00:00:00"/>
    <x v="3"/>
    <x v="2"/>
    <x v="0"/>
    <n v="380"/>
    <n v="380"/>
    <n v="20.85"/>
    <n v="14.83"/>
    <n v="5"/>
    <n v="6860.34"/>
    <n v="5"/>
    <x v="0"/>
  </r>
  <r>
    <x v="28"/>
    <x v="27"/>
    <d v="2023-05-17T00:00:00"/>
    <x v="2"/>
    <x v="0"/>
    <x v="1"/>
    <n v="400"/>
    <n v="400"/>
    <n v="11.56"/>
    <n v="7.76"/>
    <n v="3"/>
    <n v="4130.08"/>
    <n v="1"/>
    <x v="0"/>
  </r>
  <r>
    <x v="29"/>
    <x v="28"/>
    <d v="2023-09-09T00:00:00"/>
    <x v="3"/>
    <x v="2"/>
    <x v="4"/>
    <n v="67"/>
    <n v="67"/>
    <n v="19.46"/>
    <n v="10.87"/>
    <n v="5"/>
    <n v="801.22"/>
    <n v="1"/>
    <x v="0"/>
  </r>
  <r>
    <x v="30"/>
    <x v="29"/>
    <d v="2023-08-17T00:00:00"/>
    <x v="7"/>
    <x v="2"/>
    <x v="1"/>
    <n v="307"/>
    <n v="223"/>
    <n v="20.51"/>
    <n v="14.12"/>
    <n v="2"/>
    <n v="4289.03"/>
    <n v="2"/>
    <x v="0"/>
  </r>
  <r>
    <x v="31"/>
    <x v="30"/>
    <d v="2023-10-11T00:00:00"/>
    <x v="1"/>
    <x v="2"/>
    <x v="4"/>
    <n v="41"/>
    <n v="41"/>
    <n v="20.09"/>
    <n v="14.25"/>
    <n v="3"/>
    <n v="827.54"/>
    <n v="1"/>
    <x v="0"/>
  </r>
  <r>
    <x v="32"/>
    <x v="31"/>
    <d v="2023-12-13T00:00:00"/>
    <x v="4"/>
    <x v="1"/>
    <x v="1"/>
    <n v="228"/>
    <n v="228"/>
    <n v="10"/>
    <n v="7.35"/>
    <n v="6"/>
    <n v="1746.25"/>
    <n v="5"/>
    <x v="0"/>
  </r>
  <r>
    <x v="33"/>
    <x v="32"/>
    <d v="2023-01-15T00:00:00"/>
    <x v="7"/>
    <x v="1"/>
    <x v="2"/>
    <n v="230"/>
    <n v="230"/>
    <n v="10.55"/>
    <n v="7.51"/>
    <n v="2"/>
    <n v="1831.08"/>
    <n v="2"/>
    <x v="0"/>
  </r>
  <r>
    <x v="34"/>
    <x v="33"/>
    <d v="2023-09-02T00:00:00"/>
    <x v="0"/>
    <x v="3"/>
    <x v="3"/>
    <n v="199"/>
    <n v="199"/>
    <n v="25.54"/>
    <n v="15.21"/>
    <n v="4"/>
    <n v="2767.09"/>
    <n v="4"/>
    <x v="0"/>
  </r>
  <r>
    <x v="35"/>
    <x v="34"/>
    <d v="2023-05-31T00:00:00"/>
    <x v="3"/>
    <x v="3"/>
    <x v="0"/>
    <n v="199"/>
    <n v="199"/>
    <n v="20.8"/>
    <n v="15.52"/>
    <n v="5"/>
    <n v="3773.29"/>
    <s v="Data Error"/>
    <x v="2"/>
  </r>
  <r>
    <x v="36"/>
    <x v="35"/>
    <d v="2023-04-04T00:00:00"/>
    <x v="1"/>
    <x v="0"/>
    <x v="0"/>
    <n v="39"/>
    <n v="39"/>
    <n v="12.73"/>
    <n v="8.86"/>
    <n v="3"/>
    <n v="376.02"/>
    <s v="Data Error"/>
    <x v="2"/>
  </r>
  <r>
    <x v="37"/>
    <x v="36"/>
    <d v="2023-04-12T00:00:00"/>
    <x v="0"/>
    <x v="3"/>
    <x v="4"/>
    <n v="20"/>
    <n v="20"/>
    <n v="25.68"/>
    <n v="17.649999999999999"/>
    <n v="4"/>
    <n v="516.85"/>
    <n v="33"/>
    <x v="1"/>
  </r>
  <r>
    <x v="38"/>
    <x v="37"/>
    <d v="2023-02-13T00:00:00"/>
    <x v="3"/>
    <x v="2"/>
    <x v="2"/>
    <n v="339"/>
    <n v="339"/>
    <n v="19.63"/>
    <n v="13.62"/>
    <n v="5"/>
    <n v="4987.45"/>
    <s v="Data Error"/>
    <x v="2"/>
  </r>
  <r>
    <x v="39"/>
    <x v="38"/>
    <d v="2023-07-29T00:00:00"/>
    <x v="2"/>
    <x v="3"/>
    <x v="0"/>
    <n v="85"/>
    <n v="85"/>
    <n v="23.98"/>
    <n v="15.01"/>
    <n v="3"/>
    <n v="1720.97"/>
    <n v="176"/>
    <x v="1"/>
  </r>
  <r>
    <x v="40"/>
    <x v="39"/>
    <d v="2023-06-05T00:00:00"/>
    <x v="7"/>
    <x v="4"/>
    <x v="4"/>
    <n v="175"/>
    <n v="175"/>
    <n v="6.35"/>
    <n v="4.2300000000000004"/>
    <n v="2"/>
    <n v="957.01"/>
    <n v="132"/>
    <x v="1"/>
  </r>
  <r>
    <x v="41"/>
    <x v="40"/>
    <d v="2023-12-16T00:00:00"/>
    <x v="5"/>
    <x v="3"/>
    <x v="2"/>
    <n v="396"/>
    <n v="396"/>
    <n v="17.02"/>
    <n v="11.12"/>
    <n v="7"/>
    <n v="5635.47"/>
    <n v="72"/>
    <x v="1"/>
  </r>
  <r>
    <x v="42"/>
    <x v="41"/>
    <d v="2023-12-13T00:00:00"/>
    <x v="4"/>
    <x v="0"/>
    <x v="1"/>
    <n v="95"/>
    <n v="73"/>
    <n v="16.68"/>
    <n v="11.21"/>
    <n v="6"/>
    <n v="1449.5"/>
    <s v="Data Error"/>
    <x v="2"/>
  </r>
  <r>
    <x v="43"/>
    <x v="42"/>
    <d v="2023-04-14T00:00:00"/>
    <x v="5"/>
    <x v="3"/>
    <x v="4"/>
    <n v="273"/>
    <n v="273"/>
    <n v="17.77"/>
    <n v="12.22"/>
    <n v="7"/>
    <n v="0"/>
    <s v="Data Error"/>
    <x v="2"/>
  </r>
  <r>
    <x v="44"/>
    <x v="43"/>
    <d v="2023-04-05T00:00:00"/>
    <x v="0"/>
    <x v="3"/>
    <x v="1"/>
    <n v="45"/>
    <n v="45"/>
    <n v="27.01"/>
    <n v="15.51"/>
    <n v="4"/>
    <n v="683.99"/>
    <n v="4"/>
    <x v="0"/>
  </r>
  <r>
    <x v="45"/>
    <x v="44"/>
    <d v="2023-11-08T00:00:00"/>
    <x v="5"/>
    <x v="4"/>
    <x v="4"/>
    <n v="246"/>
    <n v="246"/>
    <n v="7.39"/>
    <n v="4.8099999999999996"/>
    <n v="7"/>
    <n v="1654.6"/>
    <n v="7"/>
    <x v="0"/>
  </r>
  <r>
    <x v="46"/>
    <x v="45"/>
    <d v="2023-08-21T00:00:00"/>
    <x v="5"/>
    <x v="1"/>
    <x v="2"/>
    <n v="9999"/>
    <n v="9999"/>
    <n v="10.130000000000001"/>
    <n v="6.55"/>
    <n v="7"/>
    <n v="2364.9899999999998"/>
    <n v="2"/>
    <x v="0"/>
  </r>
  <r>
    <x v="47"/>
    <x v="46"/>
    <d v="2023-05-04T00:00:00"/>
    <x v="5"/>
    <x v="0"/>
    <x v="0"/>
    <n v="296"/>
    <n v="296"/>
    <n v="10.69"/>
    <n v="6.7"/>
    <n v="7"/>
    <n v="1966.71"/>
    <n v="3"/>
    <x v="0"/>
  </r>
  <r>
    <x v="48"/>
    <x v="47"/>
    <d v="2023-08-01T00:00:00"/>
    <x v="3"/>
    <x v="0"/>
    <x v="2"/>
    <n v="232"/>
    <n v="232"/>
    <n v="15.6"/>
    <n v="9.8000000000000007"/>
    <n v="5"/>
    <n v="3096.36"/>
    <n v="4"/>
    <x v="0"/>
  </r>
  <r>
    <x v="49"/>
    <x v="48"/>
    <d v="2023-09-04T00:00:00"/>
    <x v="1"/>
    <x v="4"/>
    <x v="2"/>
    <n v="172"/>
    <n v="172"/>
    <n v="7.87"/>
    <n v="5.83"/>
    <n v="3"/>
    <n v="1154.5899999999999"/>
    <n v="2"/>
    <x v="0"/>
  </r>
  <r>
    <x v="50"/>
    <x v="49"/>
    <d v="2023-05-21T00:00:00"/>
    <x v="3"/>
    <x v="3"/>
    <x v="1"/>
    <n v="219"/>
    <n v="219"/>
    <n v="24.15"/>
    <n v="15.24"/>
    <n v="5"/>
    <n v="3334.31"/>
    <n v="1"/>
    <x v="0"/>
  </r>
  <r>
    <x v="51"/>
    <x v="50"/>
    <d v="2023-10-05T00:00:00"/>
    <x v="5"/>
    <x v="1"/>
    <x v="4"/>
    <n v="323"/>
    <n v="323"/>
    <n v="6.53"/>
    <n v="4.43"/>
    <n v="7"/>
    <n v="1404.3"/>
    <n v="4"/>
    <x v="0"/>
  </r>
  <r>
    <x v="52"/>
    <x v="51"/>
    <d v="2023-05-16T00:00:00"/>
    <x v="5"/>
    <x v="1"/>
    <x v="3"/>
    <n v="252"/>
    <n v="252"/>
    <n v="10.050000000000001"/>
    <n v="6.29"/>
    <n v="7"/>
    <n v="2141.77"/>
    <n v="2"/>
    <x v="0"/>
  </r>
  <r>
    <x v="53"/>
    <x v="33"/>
    <d v="2023-08-30T00:00:00"/>
    <x v="6"/>
    <x v="2"/>
    <x v="3"/>
    <n v="199"/>
    <n v="199"/>
    <n v="12.62"/>
    <n v="9.36"/>
    <n v="4"/>
    <n v="1721.37"/>
    <n v="1"/>
    <x v="0"/>
  </r>
  <r>
    <x v="54"/>
    <x v="52"/>
    <d v="2023-01-12T00:00:00"/>
    <x v="1"/>
    <x v="1"/>
    <x v="1"/>
    <n v="84"/>
    <n v="84"/>
    <n v="6.95"/>
    <n v="5.14"/>
    <n v="3"/>
    <n v="509.05"/>
    <n v="1"/>
    <x v="0"/>
  </r>
  <r>
    <x v="55"/>
    <x v="53"/>
    <d v="2023-11-10T00:00:00"/>
    <x v="2"/>
    <x v="2"/>
    <x v="1"/>
    <n v="387"/>
    <n v="387"/>
    <n v="19.37"/>
    <n v="14.39"/>
    <n v="3"/>
    <n v="5373.23"/>
    <n v="3"/>
    <x v="0"/>
  </r>
  <r>
    <x v="56"/>
    <x v="54"/>
    <d v="2023-12-20T00:00:00"/>
    <x v="1"/>
    <x v="2"/>
    <x v="4"/>
    <n v="223"/>
    <n v="223"/>
    <n v="13.78"/>
    <n v="9.2100000000000009"/>
    <n v="3"/>
    <n v="2871.96"/>
    <n v="7"/>
    <x v="1"/>
  </r>
  <r>
    <x v="57"/>
    <x v="55"/>
    <d v="2023-12-18T00:00:00"/>
    <x v="3"/>
    <x v="0"/>
    <x v="0"/>
    <n v="309"/>
    <n v="309"/>
    <n v="12.1"/>
    <n v="7.69"/>
    <n v="5"/>
    <n v="2666.92"/>
    <n v="1"/>
    <x v="0"/>
  </r>
  <r>
    <x v="58"/>
    <x v="28"/>
    <d v="2023-09-11T00:00:00"/>
    <x v="4"/>
    <x v="0"/>
    <x v="5"/>
    <n v="345"/>
    <n v="345"/>
    <n v="12.91"/>
    <n v="7.5"/>
    <n v="6"/>
    <n v="2602.1999999999998"/>
    <n v="3"/>
    <x v="0"/>
  </r>
  <r>
    <x v="59"/>
    <x v="56"/>
    <d v="2023-09-08T00:00:00"/>
    <x v="2"/>
    <x v="4"/>
    <x v="4"/>
    <n v="323"/>
    <n v="323"/>
    <n v="7.87"/>
    <n v="5.64"/>
    <n v="3"/>
    <n v="1734.27"/>
    <n v="3"/>
    <x v="0"/>
  </r>
  <r>
    <x v="60"/>
    <x v="57"/>
    <d v="2023-10-23T00:00:00"/>
    <x v="5"/>
    <x v="1"/>
    <x v="2"/>
    <n v="192"/>
    <n v="188"/>
    <s v="$7.96"/>
    <n v="5.15"/>
    <n v="7"/>
    <n v="1100.43"/>
    <n v="4"/>
    <x v="0"/>
  </r>
  <r>
    <x v="61"/>
    <x v="58"/>
    <d v="2023-11-04T00:00:00"/>
    <x v="2"/>
    <x v="2"/>
    <x v="0"/>
    <n v="304"/>
    <n v="236"/>
    <n v="12.77"/>
    <n v="8.86"/>
    <n v="3"/>
    <n v="3213.67"/>
    <n v="2"/>
    <x v="0"/>
  </r>
  <r>
    <x v="62"/>
    <x v="59"/>
    <d v="2023-08-19T00:00:00"/>
    <x v="3"/>
    <x v="3"/>
    <x v="2"/>
    <n v="170"/>
    <n v="170"/>
    <n v="24.3"/>
    <n v="14.85"/>
    <n v="5"/>
    <n v="3152.93"/>
    <n v="1"/>
    <x v="0"/>
  </r>
  <r>
    <x v="63"/>
    <x v="60"/>
    <d v="2023-07-02T00:00:00"/>
    <x v="5"/>
    <x v="4"/>
    <x v="4"/>
    <n v="9999"/>
    <n v="9999"/>
    <n v="7.33"/>
    <n v="4.43"/>
    <n v="7"/>
    <n v="1401.22"/>
    <n v="6"/>
    <x v="0"/>
  </r>
  <r>
    <x v="64"/>
    <x v="61"/>
    <d v="2023-03-05T00:00:00"/>
    <x v="0"/>
    <x v="1"/>
    <x v="0"/>
    <n v="118"/>
    <n v="118"/>
    <n v="8.7200000000000006"/>
    <n v="6.06"/>
    <n v="4"/>
    <n v="1062.58"/>
    <n v="2"/>
    <x v="0"/>
  </r>
  <r>
    <x v="65"/>
    <x v="22"/>
    <d v="2023-06-02T00:00:00"/>
    <x v="2"/>
    <x v="0"/>
    <x v="1"/>
    <n v="174"/>
    <n v="155"/>
    <n v="10.51"/>
    <n v="5.88"/>
    <n v="3"/>
    <n v="954.28"/>
    <n v="1"/>
    <x v="0"/>
  </r>
  <r>
    <x v="66"/>
    <x v="62"/>
    <d v="2023-02-25T00:00:00"/>
    <x v="2"/>
    <x v="1"/>
    <x v="2"/>
    <n v="165"/>
    <n v="165"/>
    <n v="8.51"/>
    <n v="4.99"/>
    <n v="3"/>
    <n v="766.4"/>
    <n v="3"/>
    <x v="0"/>
  </r>
  <r>
    <x v="67"/>
    <x v="63"/>
    <d v="2023-07-30T00:00:00"/>
    <x v="5"/>
    <x v="0"/>
    <x v="3"/>
    <n v="342"/>
    <n v="342"/>
    <n v="10.69"/>
    <n v="7.61"/>
    <n v="7"/>
    <n v="3824.49"/>
    <n v="5"/>
    <x v="0"/>
  </r>
  <r>
    <x v="68"/>
    <x v="64"/>
    <d v="2023-10-15T00:00:00"/>
    <x v="0"/>
    <x v="1"/>
    <x v="3"/>
    <n v="287"/>
    <n v="287"/>
    <n v="10.76"/>
    <n v="6.56"/>
    <n v="4"/>
    <n v="2359.2600000000002"/>
    <n v="2"/>
    <x v="0"/>
  </r>
  <r>
    <x v="69"/>
    <x v="65"/>
    <d v="2023-11-12T00:00:00"/>
    <x v="6"/>
    <x v="2"/>
    <x v="4"/>
    <n v="126"/>
    <n v="126"/>
    <n v="14.38"/>
    <n v="8.14"/>
    <n v="4"/>
    <n v="1070.69"/>
    <s v="Data Error"/>
    <x v="2"/>
  </r>
  <r>
    <x v="70"/>
    <x v="66"/>
    <d v="2023-08-02T00:00:00"/>
    <x v="0"/>
    <x v="1"/>
    <x v="3"/>
    <n v="169"/>
    <n v="136"/>
    <n v="9.7899999999999991"/>
    <n v="6.76"/>
    <n v="4"/>
    <n v="1339.42"/>
    <n v="4"/>
    <x v="0"/>
  </r>
  <r>
    <x v="71"/>
    <x v="4"/>
    <d v="2023-12-07T00:00:00"/>
    <x v="3"/>
    <x v="2"/>
    <x v="4"/>
    <n v="237"/>
    <n v="237"/>
    <n v="14.02"/>
    <n v="8.1300000000000008"/>
    <n v="5"/>
    <n v="2041.22"/>
    <n v="2"/>
    <x v="0"/>
  </r>
  <r>
    <x v="72"/>
    <x v="67"/>
    <d v="2023-03-28T00:00:00"/>
    <x v="7"/>
    <x v="0"/>
    <x v="3"/>
    <n v="244"/>
    <n v="244"/>
    <n v="14.56"/>
    <n v="10.050000000000001"/>
    <n v="2"/>
    <n v="3593.96"/>
    <n v="2"/>
    <x v="0"/>
  </r>
  <r>
    <x v="73"/>
    <x v="68"/>
    <d v="2023-11-07T00:00:00"/>
    <x v="5"/>
    <x v="3"/>
    <x v="3"/>
    <n v="396"/>
    <n v="396"/>
    <n v="19"/>
    <n v="10.8"/>
    <n v="7"/>
    <n v="6317.46"/>
    <n v="4"/>
    <x v="0"/>
  </r>
  <r>
    <x v="74"/>
    <x v="69"/>
    <d v="2023-01-26T00:00:00"/>
    <x v="1"/>
    <x v="2"/>
    <x v="4"/>
    <n v="260"/>
    <n v="260"/>
    <n v="15.98"/>
    <n v="9.68"/>
    <n v="3"/>
    <n v="3770.59"/>
    <n v="5"/>
    <x v="1"/>
  </r>
  <r>
    <x v="75"/>
    <x v="70"/>
    <d v="2023-01-21T00:00:00"/>
    <x v="2"/>
    <x v="3"/>
    <x v="4"/>
    <n v="149"/>
    <n v="149"/>
    <n v="27.64"/>
    <n v="17.440000000000001"/>
    <n v="3"/>
    <n v="3141.03"/>
    <n v="2"/>
    <x v="0"/>
  </r>
  <r>
    <x v="76"/>
    <x v="71"/>
    <d v="2023-08-03T00:00:00"/>
    <x v="1"/>
    <x v="4"/>
    <x v="2"/>
    <n v="205"/>
    <n v="205"/>
    <n v="6.59"/>
    <n v="4.21"/>
    <n v="3"/>
    <n v="803.47"/>
    <n v="3"/>
    <x v="0"/>
  </r>
  <r>
    <x v="77"/>
    <x v="72"/>
    <d v="2023-05-31T00:00:00"/>
    <x v="2"/>
    <x v="4"/>
    <x v="1"/>
    <n v="268"/>
    <n v="268"/>
    <n v="8.3000000000000007"/>
    <n v="5.58"/>
    <n v="3"/>
    <n v="1560.61"/>
    <n v="3"/>
    <x v="0"/>
  </r>
  <r>
    <x v="78"/>
    <x v="20"/>
    <d v="2023-01-09T00:00:00"/>
    <x v="7"/>
    <x v="2"/>
    <x v="4"/>
    <n v="135"/>
    <n v="135"/>
    <n v="20.22"/>
    <n v="12.99"/>
    <n v="2"/>
    <n v="1701.88"/>
    <n v="1"/>
    <x v="0"/>
  </r>
  <r>
    <x v="79"/>
    <x v="73"/>
    <d v="2023-09-20T00:00:00"/>
    <x v="7"/>
    <x v="3"/>
    <x v="0"/>
    <n v="267"/>
    <n v="267"/>
    <n v="18.920000000000002"/>
    <n v="12.49"/>
    <n v="2"/>
    <n v="3768.86"/>
    <n v="2"/>
    <x v="0"/>
  </r>
  <r>
    <x v="80"/>
    <x v="74"/>
    <d v="2023-08-03T00:00:00"/>
    <x v="7"/>
    <x v="0"/>
    <x v="0"/>
    <n v="21"/>
    <n v="21"/>
    <n v="11.75"/>
    <n v="7.84"/>
    <n v="2"/>
    <n v="0"/>
    <n v="2"/>
    <x v="0"/>
  </r>
  <r>
    <x v="81"/>
    <x v="75"/>
    <d v="2023-10-06T00:00:00"/>
    <x v="5"/>
    <x v="1"/>
    <x v="2"/>
    <n v="302"/>
    <n v="302"/>
    <n v="8.2100000000000009"/>
    <n v="6.05"/>
    <n v="7"/>
    <n v="2597.6999999999998"/>
    <n v="3"/>
    <x v="0"/>
  </r>
  <r>
    <x v="82"/>
    <x v="76"/>
    <d v="2023-05-09T00:00:00"/>
    <x v="3"/>
    <x v="4"/>
    <x v="2"/>
    <n v="42"/>
    <n v="42"/>
    <n v="6.5"/>
    <n v="4.76"/>
    <n v="5"/>
    <n v="225.66"/>
    <n v="9"/>
    <x v="1"/>
  </r>
  <r>
    <x v="83"/>
    <x v="14"/>
    <d v="2023-03-08T00:00:00"/>
    <x v="7"/>
    <x v="3"/>
    <x v="3"/>
    <n v="71"/>
    <n v="71"/>
    <n v="21.28"/>
    <n v="13.94"/>
    <n v="2"/>
    <n v="1162.1099999999999"/>
    <n v="2"/>
    <x v="0"/>
  </r>
  <r>
    <x v="84"/>
    <x v="77"/>
    <d v="2023-02-10T00:00:00"/>
    <x v="7"/>
    <x v="3"/>
    <x v="1"/>
    <n v="193"/>
    <n v="193"/>
    <n v="20.77"/>
    <n v="11.76"/>
    <n v="2"/>
    <n v="2490.16"/>
    <n v="2"/>
    <x v="0"/>
  </r>
  <r>
    <x v="85"/>
    <x v="40"/>
    <d v="2023-10-06T00:00:00"/>
    <x v="6"/>
    <x v="2"/>
    <x v="2"/>
    <n v="140"/>
    <n v="140"/>
    <n v="20.29"/>
    <n v="15.21"/>
    <n v="4"/>
    <n v="2870.56"/>
    <n v="1"/>
    <x v="0"/>
  </r>
  <r>
    <x v="86"/>
    <x v="78"/>
    <d v="2023-08-19T00:00:00"/>
    <x v="6"/>
    <x v="0"/>
    <x v="3"/>
    <n v="34"/>
    <n v="23"/>
    <n v="11.71"/>
    <n v="7.32"/>
    <n v="4"/>
    <n v="245.73"/>
    <n v="3"/>
    <x v="0"/>
  </r>
  <r>
    <x v="87"/>
    <x v="79"/>
    <d v="2023-04-02T00:00:00"/>
    <x v="6"/>
    <x v="4"/>
    <x v="1"/>
    <n v="337"/>
    <n v="337"/>
    <n v="6.59"/>
    <n v="4.3899999999999997"/>
    <n v="4"/>
    <n v="1537.59"/>
    <n v="4"/>
    <x v="0"/>
  </r>
  <r>
    <x v="88"/>
    <x v="31"/>
    <d v="2023-12-10T00:00:00"/>
    <x v="2"/>
    <x v="3"/>
    <x v="0"/>
    <n v="167"/>
    <n v="167"/>
    <n v="17.899999999999999"/>
    <n v="11.43"/>
    <n v="3"/>
    <n v="2113.6999999999998"/>
    <n v="2"/>
    <x v="0"/>
  </r>
  <r>
    <x v="89"/>
    <x v="80"/>
    <d v="2023-08-23T00:00:00"/>
    <x v="2"/>
    <x v="3"/>
    <x v="0"/>
    <n v="216"/>
    <n v="216"/>
    <n v="17.28"/>
    <n v="10.82"/>
    <n v="3"/>
    <n v="2606.77"/>
    <n v="1"/>
    <x v="0"/>
  </r>
  <r>
    <x v="90"/>
    <x v="42"/>
    <d v="2023-12-05T00:00:00"/>
    <x v="2"/>
    <x v="2"/>
    <x v="3"/>
    <n v="309"/>
    <n v="309"/>
    <n v="19"/>
    <n v="14.15"/>
    <n v="3"/>
    <n v="6324.04"/>
    <n v="1"/>
    <x v="0"/>
  </r>
  <r>
    <x v="91"/>
    <x v="53"/>
    <d v="2023-11-03T00:00:00"/>
    <x v="5"/>
    <x v="2"/>
    <x v="1"/>
    <n v="345"/>
    <n v="345"/>
    <n v="14.26"/>
    <n v="10"/>
    <n v="7"/>
    <n v="4693.66"/>
    <s v="Data Error"/>
    <x v="2"/>
  </r>
  <r>
    <x v="92"/>
    <x v="81"/>
    <d v="2023-06-09T00:00:00"/>
    <x v="7"/>
    <x v="0"/>
    <x v="3"/>
    <n v="316"/>
    <n v="316"/>
    <n v="10.55"/>
    <n v="7.72"/>
    <n v="2"/>
    <n v="2673.79"/>
    <n v="1"/>
    <x v="0"/>
  </r>
  <r>
    <x v="93"/>
    <x v="82"/>
    <d v="2023-03-12T00:00:00"/>
    <x v="6"/>
    <x v="1"/>
    <x v="1"/>
    <n v="291"/>
    <n v="291"/>
    <n v="7.71"/>
    <n v="4.49"/>
    <n v="4"/>
    <n v="1892.5"/>
    <n v="3"/>
    <x v="0"/>
  </r>
  <r>
    <x v="94"/>
    <x v="83"/>
    <d v="2023-03-01T00:00:00"/>
    <x v="5"/>
    <x v="2"/>
    <x v="0"/>
    <n v="92"/>
    <n v="92"/>
    <n v="14.03"/>
    <n v="9.61"/>
    <n v="7"/>
    <n v="1153.46"/>
    <n v="1"/>
    <x v="0"/>
  </r>
  <r>
    <x v="95"/>
    <x v="84"/>
    <d v="2023-02-17T00:00:00"/>
    <x v="6"/>
    <x v="4"/>
    <x v="0"/>
    <n v="155"/>
    <n v="155"/>
    <n v="6.44"/>
    <n v="4.41"/>
    <n v="4"/>
    <n v="890.94"/>
    <n v="1"/>
    <x v="0"/>
  </r>
  <r>
    <x v="96"/>
    <x v="85"/>
    <d v="2023-12-13T00:00:00"/>
    <x v="6"/>
    <x v="2"/>
    <x v="3"/>
    <n v="337"/>
    <n v="337"/>
    <n v="17.05"/>
    <n v="12.5"/>
    <n v="4"/>
    <n v="4350.76"/>
    <n v="1"/>
    <x v="0"/>
  </r>
  <r>
    <x v="97"/>
    <x v="86"/>
    <d v="2023-12-01T00:00:00"/>
    <x v="0"/>
    <x v="3"/>
    <x v="0"/>
    <n v="43"/>
    <n v="43"/>
    <n v="19.649999999999999"/>
    <n v="12.74"/>
    <n v="4"/>
    <n v="524.98"/>
    <n v="2"/>
    <x v="0"/>
  </r>
  <r>
    <x v="98"/>
    <x v="87"/>
    <d v="2023-07-11T00:00:00"/>
    <x v="7"/>
    <x v="3"/>
    <x v="2"/>
    <n v="320"/>
    <n v="320"/>
    <n v="17.850000000000001"/>
    <n v="11.3"/>
    <n v="2"/>
    <n v="3469.24"/>
    <n v="2"/>
    <x v="0"/>
  </r>
  <r>
    <x v="99"/>
    <x v="88"/>
    <d v="2023-05-27T00:00:00"/>
    <x v="5"/>
    <x v="4"/>
    <x v="2"/>
    <n v="131"/>
    <n v="131"/>
    <n v="8.2200000000000006"/>
    <n v="5.93"/>
    <n v="7"/>
    <n v="745.46"/>
    <n v="3"/>
    <x v="0"/>
  </r>
  <r>
    <x v="100"/>
    <x v="89"/>
    <d v="2023-02-03T00:00:00"/>
    <x v="4"/>
    <x v="4"/>
    <x v="0"/>
    <n v="82"/>
    <n v="82"/>
    <n v="7.77"/>
    <n v="4.42"/>
    <n v="6"/>
    <n v="372.32"/>
    <n v="2"/>
    <x v="0"/>
  </r>
  <r>
    <x v="101"/>
    <x v="90"/>
    <d v="2023-05-13T00:00:00"/>
    <x v="1"/>
    <x v="0"/>
    <x v="0"/>
    <n v="125"/>
    <n v="125"/>
    <n v="15.11"/>
    <n v="8.94"/>
    <n v="3"/>
    <n v="1150.55"/>
    <n v="8"/>
    <x v="1"/>
  </r>
  <r>
    <x v="102"/>
    <x v="58"/>
    <d v="2023-11-04T00:00:00"/>
    <x v="3"/>
    <x v="2"/>
    <x v="1"/>
    <n v="86"/>
    <n v="86"/>
    <n v="19.190000000000001"/>
    <n v="10.98"/>
    <n v="5"/>
    <n v="1340.75"/>
    <n v="2"/>
    <x v="0"/>
  </r>
  <r>
    <x v="103"/>
    <x v="91"/>
    <d v="2023-05-03T00:00:00"/>
    <x v="7"/>
    <x v="0"/>
    <x v="0"/>
    <n v="109"/>
    <n v="109"/>
    <n v="10.51"/>
    <n v="6.67"/>
    <n v="2"/>
    <n v="703.9"/>
    <n v="1"/>
    <x v="0"/>
  </r>
  <r>
    <x v="104"/>
    <x v="34"/>
    <d v="2023-07-06T00:00:00"/>
    <x v="0"/>
    <x v="3"/>
    <x v="2"/>
    <n v="251"/>
    <n v="251"/>
    <n v="27.34"/>
    <n v="15.27"/>
    <n v="4"/>
    <n v="5250.65"/>
    <n v="1"/>
    <x v="0"/>
  </r>
  <r>
    <x v="105"/>
    <x v="89"/>
    <d v="2023-02-08T00:00:00"/>
    <x v="2"/>
    <x v="3"/>
    <x v="3"/>
    <n v="238"/>
    <n v="238"/>
    <s v="$21.88"/>
    <n v="16.010000000000002"/>
    <n v="3"/>
    <n v="3597.36"/>
    <n v="7"/>
    <x v="1"/>
  </r>
  <r>
    <x v="106"/>
    <x v="92"/>
    <d v="2023-03-20T00:00:00"/>
    <x v="0"/>
    <x v="2"/>
    <x v="4"/>
    <n v="339"/>
    <n v="339"/>
    <n v="16.940000000000001"/>
    <n v="10.42"/>
    <n v="4"/>
    <n v="5287.18"/>
    <n v="3"/>
    <x v="0"/>
  </r>
  <r>
    <x v="107"/>
    <x v="93"/>
    <d v="2023-11-09T00:00:00"/>
    <x v="2"/>
    <x v="3"/>
    <x v="4"/>
    <n v="78"/>
    <n v="78"/>
    <s v="$23.81"/>
    <n v="16.760000000000002"/>
    <n v="3"/>
    <n v="1741.96"/>
    <n v="3"/>
    <x v="0"/>
  </r>
  <r>
    <x v="108"/>
    <x v="94"/>
    <d v="2023-05-01T00:00:00"/>
    <x v="3"/>
    <x v="3"/>
    <x v="2"/>
    <n v="224"/>
    <n v="224"/>
    <n v="17.14"/>
    <n v="10.89"/>
    <n v="5"/>
    <n v="3168.89"/>
    <n v="4"/>
    <x v="0"/>
  </r>
  <r>
    <x v="109"/>
    <x v="95"/>
    <d v="2023-02-05T00:00:00"/>
    <x v="4"/>
    <x v="1"/>
    <x v="2"/>
    <n v="67"/>
    <n v="67"/>
    <n v="9.9700000000000006"/>
    <n v="6.23"/>
    <n v="6"/>
    <n v="408.26"/>
    <n v="1"/>
    <x v="0"/>
  </r>
  <r>
    <x v="110"/>
    <x v="96"/>
    <d v="2023-10-16T00:00:00"/>
    <x v="1"/>
    <x v="4"/>
    <x v="4"/>
    <n v="230"/>
    <n v="230"/>
    <n v="7.2"/>
    <n v="5.04"/>
    <n v="3"/>
    <n v="1647.06"/>
    <n v="1"/>
    <x v="0"/>
  </r>
  <r>
    <x v="111"/>
    <x v="97"/>
    <d v="2023-06-12T00:00:00"/>
    <x v="1"/>
    <x v="2"/>
    <x v="4"/>
    <n v="279"/>
    <n v="279"/>
    <n v="17.91"/>
    <n v="10.65"/>
    <n v="3"/>
    <n v="2867.15"/>
    <n v="3"/>
    <x v="0"/>
  </r>
  <r>
    <x v="112"/>
    <x v="98"/>
    <d v="2023-10-25T00:00:00"/>
    <x v="4"/>
    <x v="0"/>
    <x v="0"/>
    <n v="307"/>
    <n v="307"/>
    <n v="15.49"/>
    <n v="10.42"/>
    <n v="6"/>
    <n v="4112.62"/>
    <n v="4"/>
    <x v="0"/>
  </r>
  <r>
    <x v="113"/>
    <x v="99"/>
    <d v="2023-01-18T00:00:00"/>
    <x v="1"/>
    <x v="4"/>
    <x v="0"/>
    <n v="178"/>
    <n v="178"/>
    <n v="6.06"/>
    <n v="3.55"/>
    <n v="3"/>
    <n v="623.02"/>
    <n v="3"/>
    <x v="0"/>
  </r>
  <r>
    <x v="114"/>
    <x v="100"/>
    <d v="2023-11-26T00:00:00"/>
    <x v="6"/>
    <x v="0"/>
    <x v="1"/>
    <n v="291"/>
    <n v="291"/>
    <n v="12.62"/>
    <n v="7.8"/>
    <n v="4"/>
    <n v="2546.79"/>
    <n v="5"/>
    <x v="1"/>
  </r>
  <r>
    <x v="115"/>
    <x v="101"/>
    <d v="2023-02-15T00:00:00"/>
    <x v="4"/>
    <x v="4"/>
    <x v="4"/>
    <n v="100"/>
    <n v="100"/>
    <n v="4.9800000000000004"/>
    <n v="2.82"/>
    <n v="6"/>
    <n v="328.77"/>
    <n v="2"/>
    <x v="0"/>
  </r>
  <r>
    <x v="116"/>
    <x v="29"/>
    <d v="2023-08-17T00:00:00"/>
    <x v="6"/>
    <x v="3"/>
    <x v="4"/>
    <n v="282"/>
    <n v="282"/>
    <n v="21.16"/>
    <n v="12.84"/>
    <n v="4"/>
    <n v="4732.82"/>
    <n v="2"/>
    <x v="0"/>
  </r>
  <r>
    <x v="117"/>
    <x v="39"/>
    <d v="2023-01-29T00:00:00"/>
    <x v="5"/>
    <x v="4"/>
    <x v="0"/>
    <n v="48"/>
    <n v="42"/>
    <n v="8.1999999999999993"/>
    <n v="5.77"/>
    <n v="7"/>
    <n v="376.25"/>
    <n v="5"/>
    <x v="0"/>
  </r>
  <r>
    <x v="118"/>
    <x v="16"/>
    <d v="2023-01-06T00:00:00"/>
    <x v="2"/>
    <x v="2"/>
    <x v="3"/>
    <n v="109"/>
    <n v="109"/>
    <n v="16.79"/>
    <n v="10.01"/>
    <n v="3"/>
    <n v="1347.75"/>
    <n v="2"/>
    <x v="0"/>
  </r>
  <r>
    <x v="119"/>
    <x v="102"/>
    <d v="2023-01-26T00:00:00"/>
    <x v="4"/>
    <x v="0"/>
    <x v="2"/>
    <n v="59"/>
    <n v="59"/>
    <n v="13.75"/>
    <n v="9.14"/>
    <n v="6"/>
    <n v="714.9"/>
    <n v="4"/>
    <x v="0"/>
  </r>
  <r>
    <x v="120"/>
    <x v="103"/>
    <d v="2023-07-30T00:00:00"/>
    <x v="6"/>
    <x v="2"/>
    <x v="3"/>
    <n v="107"/>
    <n v="107"/>
    <n v="17.559999999999999"/>
    <n v="12.58"/>
    <n v="4"/>
    <n v="1954.29"/>
    <n v="3"/>
    <x v="0"/>
  </r>
  <r>
    <x v="121"/>
    <x v="90"/>
    <d v="2023-05-09T00:00:00"/>
    <x v="0"/>
    <x v="3"/>
    <x v="3"/>
    <n v="288"/>
    <n v="288"/>
    <n v="26.45"/>
    <n v="18.489999999999998"/>
    <n v="4"/>
    <n v="5500.55"/>
    <n v="4"/>
    <x v="0"/>
  </r>
  <r>
    <x v="122"/>
    <x v="100"/>
    <d v="2023-11-22T00:00:00"/>
    <x v="7"/>
    <x v="0"/>
    <x v="4"/>
    <n v="198"/>
    <n v="198"/>
    <n v="16.5"/>
    <n v="11.2"/>
    <n v="2"/>
    <n v="2192.35"/>
    <n v="1"/>
    <x v="0"/>
  </r>
  <r>
    <x v="123"/>
    <x v="104"/>
    <d v="2023-04-14T00:00:00"/>
    <x v="0"/>
    <x v="1"/>
    <x v="0"/>
    <n v="355"/>
    <n v="355"/>
    <n v="10.97"/>
    <n v="7.41"/>
    <n v="4"/>
    <n v="3099.77"/>
    <n v="2"/>
    <x v="0"/>
  </r>
  <r>
    <x v="124"/>
    <x v="105"/>
    <d v="2023-06-21T00:00:00"/>
    <x v="5"/>
    <x v="4"/>
    <x v="4"/>
    <n v="181"/>
    <n v="181"/>
    <n v="5.05"/>
    <n v="3.22"/>
    <n v="7"/>
    <n v="630.42999999999995"/>
    <n v="6"/>
    <x v="0"/>
  </r>
  <r>
    <x v="125"/>
    <x v="106"/>
    <d v="2023-07-02T00:00:00"/>
    <x v="2"/>
    <x v="4"/>
    <x v="3"/>
    <n v="256"/>
    <n v="256"/>
    <n v="5"/>
    <n v="3.58"/>
    <n v="3"/>
    <n v="867.03"/>
    <n v="2"/>
    <x v="0"/>
  </r>
  <r>
    <x v="126"/>
    <x v="107"/>
    <d v="2023-09-18T00:00:00"/>
    <x v="0"/>
    <x v="4"/>
    <x v="4"/>
    <n v="250"/>
    <n v="250"/>
    <n v="6.86"/>
    <n v="4.03"/>
    <n v="4"/>
    <n v="1272.48"/>
    <n v="1"/>
    <x v="0"/>
  </r>
  <r>
    <x v="127"/>
    <x v="62"/>
    <d v="2023-02-24T00:00:00"/>
    <x v="7"/>
    <x v="0"/>
    <x v="2"/>
    <n v="385"/>
    <n v="385"/>
    <n v="14.25"/>
    <n v="7.95"/>
    <n v="2"/>
    <n v="4054.19"/>
    <n v="2"/>
    <x v="0"/>
  </r>
  <r>
    <x v="128"/>
    <x v="108"/>
    <d v="2023-11-12T00:00:00"/>
    <x v="5"/>
    <x v="4"/>
    <x v="4"/>
    <n v="164"/>
    <n v="164"/>
    <n v="7.59"/>
    <n v="5.21"/>
    <n v="7"/>
    <n v="795.84"/>
    <n v="3"/>
    <x v="0"/>
  </r>
  <r>
    <x v="129"/>
    <x v="109"/>
    <d v="2023-02-22T00:00:00"/>
    <x v="4"/>
    <x v="0"/>
    <x v="0"/>
    <n v="165"/>
    <n v="175"/>
    <n v="15.73"/>
    <n v="11.69"/>
    <n v="6"/>
    <n v="2433.48"/>
    <n v="4"/>
    <x v="0"/>
  </r>
  <r>
    <x v="130"/>
    <x v="110"/>
    <d v="2023-10-28T00:00:00"/>
    <x v="7"/>
    <x v="2"/>
    <x v="3"/>
    <n v="178"/>
    <n v="178"/>
    <n v="18.29"/>
    <n v="11.49"/>
    <n v="2"/>
    <n v="2570.89"/>
    <n v="2"/>
    <x v="0"/>
  </r>
  <r>
    <x v="131"/>
    <x v="35"/>
    <d v="2023-07-15T00:00:00"/>
    <x v="0"/>
    <x v="2"/>
    <x v="4"/>
    <n v="85"/>
    <n v="85"/>
    <n v="19.46"/>
    <n v="13.58"/>
    <n v="4"/>
    <n v="1513.57"/>
    <n v="3"/>
    <x v="0"/>
  </r>
  <r>
    <x v="132"/>
    <x v="34"/>
    <d v="2023-07-08T00:00:00"/>
    <x v="0"/>
    <x v="3"/>
    <x v="4"/>
    <n v="112"/>
    <n v="112"/>
    <n v="20.100000000000001"/>
    <n v="14.13"/>
    <n v="4"/>
    <n v="1606.62"/>
    <n v="3"/>
    <x v="0"/>
  </r>
  <r>
    <x v="133"/>
    <x v="22"/>
    <d v="2023-06-02T00:00:00"/>
    <x v="7"/>
    <x v="1"/>
    <x v="3"/>
    <n v="279"/>
    <n v="279"/>
    <n v="10.41"/>
    <n v="7.57"/>
    <n v="2"/>
    <n v="1948.66"/>
    <n v="1"/>
    <x v="0"/>
  </r>
  <r>
    <x v="134"/>
    <x v="58"/>
    <d v="2023-11-04T00:00:00"/>
    <x v="4"/>
    <x v="4"/>
    <x v="1"/>
    <n v="112"/>
    <n v="112"/>
    <n v="7.58"/>
    <n v="5.4"/>
    <n v="6"/>
    <n v="604.39"/>
    <n v="2"/>
    <x v="0"/>
  </r>
  <r>
    <x v="135"/>
    <x v="111"/>
    <d v="2023-07-08T00:00:00"/>
    <x v="5"/>
    <x v="0"/>
    <x v="2"/>
    <n v="247"/>
    <n v="247"/>
    <n v="15.02"/>
    <n v="10.62"/>
    <n v="7"/>
    <n v="2729.12"/>
    <n v="2"/>
    <x v="0"/>
  </r>
  <r>
    <x v="136"/>
    <x v="112"/>
    <d v="2023-04-15T00:00:00"/>
    <x v="3"/>
    <x v="2"/>
    <x v="2"/>
    <n v="245"/>
    <n v="245"/>
    <n v="14.54"/>
    <n v="9.11"/>
    <n v="5"/>
    <n v="2715.11"/>
    <n v="5"/>
    <x v="0"/>
  </r>
  <r>
    <x v="137"/>
    <x v="113"/>
    <d v="2023-03-13T00:00:00"/>
    <x v="7"/>
    <x v="1"/>
    <x v="4"/>
    <n v="348"/>
    <n v="348"/>
    <n v="8.18"/>
    <n v="6.03"/>
    <n v="2"/>
    <n v="2784.3"/>
    <n v="1"/>
    <x v="0"/>
  </r>
  <r>
    <x v="138"/>
    <x v="114"/>
    <d v="2023-03-26T00:00:00"/>
    <x v="0"/>
    <x v="2"/>
    <x v="3"/>
    <n v="243"/>
    <n v="243"/>
    <n v="20.190000000000001"/>
    <n v="14.4"/>
    <n v="4"/>
    <n v="5006.58"/>
    <n v="2"/>
    <x v="0"/>
  </r>
  <r>
    <x v="139"/>
    <x v="115"/>
    <d v="2023-07-23T00:00:00"/>
    <x v="1"/>
    <x v="3"/>
    <x v="3"/>
    <n v="217"/>
    <n v="217"/>
    <n v="20.5"/>
    <n v="11.39"/>
    <n v="3"/>
    <n v="3604.86"/>
    <n v="1"/>
    <x v="0"/>
  </r>
  <r>
    <x v="140"/>
    <x v="116"/>
    <d v="2023-01-24T00:00:00"/>
    <x v="4"/>
    <x v="1"/>
    <x v="1"/>
    <n v="376"/>
    <n v="376"/>
    <n v="10.039999999999999"/>
    <n v="6.46"/>
    <n v="6"/>
    <n v="3082.86"/>
    <n v="4"/>
    <x v="0"/>
  </r>
  <r>
    <x v="141"/>
    <x v="117"/>
    <d v="2023-04-25T00:00:00"/>
    <x v="0"/>
    <x v="0"/>
    <x v="0"/>
    <n v="76"/>
    <n v="76"/>
    <n v="11.31"/>
    <n v="6.5"/>
    <n v="4"/>
    <n v="515.27"/>
    <n v="4"/>
    <x v="0"/>
  </r>
  <r>
    <x v="142"/>
    <x v="37"/>
    <d v="2023-09-14T00:00:00"/>
    <x v="5"/>
    <x v="0"/>
    <x v="3"/>
    <n v="343"/>
    <n v="343"/>
    <n v="11.34"/>
    <n v="6.56"/>
    <n v="7"/>
    <n v="2604.5700000000002"/>
    <n v="1"/>
    <x v="0"/>
  </r>
  <r>
    <x v="143"/>
    <x v="118"/>
    <d v="2023-08-08T00:00:00"/>
    <x v="4"/>
    <x v="1"/>
    <x v="4"/>
    <n v="63"/>
    <n v="63"/>
    <n v="8.1300000000000008"/>
    <n v="6.02"/>
    <n v="6"/>
    <n v="465.14"/>
    <n v="6"/>
    <x v="0"/>
  </r>
  <r>
    <x v="144"/>
    <x v="119"/>
    <d v="2023-01-25T00:00:00"/>
    <x v="1"/>
    <x v="3"/>
    <x v="2"/>
    <n v="149"/>
    <n v="149"/>
    <n v="20.29"/>
    <n v="11.43"/>
    <n v="3"/>
    <n v="1779.16"/>
    <n v="2"/>
    <x v="0"/>
  </r>
  <r>
    <x v="145"/>
    <x v="36"/>
    <d v="2023-03-13T00:00:00"/>
    <x v="0"/>
    <x v="4"/>
    <x v="0"/>
    <n v="349"/>
    <n v="349"/>
    <n v="7.6"/>
    <n v="4.8899999999999997"/>
    <n v="4"/>
    <n v="2248"/>
    <n v="3"/>
    <x v="0"/>
  </r>
  <r>
    <x v="146"/>
    <x v="120"/>
    <d v="2023-05-12T00:00:00"/>
    <x v="6"/>
    <x v="4"/>
    <x v="2"/>
    <n v="166"/>
    <n v="166"/>
    <n v="7.61"/>
    <n v="5.5"/>
    <n v="4"/>
    <n v="1003.53"/>
    <n v="2"/>
    <x v="0"/>
  </r>
  <r>
    <x v="147"/>
    <x v="121"/>
    <d v="2023-07-28T00:00:00"/>
    <x v="0"/>
    <x v="2"/>
    <x v="2"/>
    <n v="193"/>
    <n v="193"/>
    <n v="16.47"/>
    <n v="10.7"/>
    <n v="4"/>
    <n v="3003.87"/>
    <n v="4"/>
    <x v="0"/>
  </r>
  <r>
    <x v="148"/>
    <x v="122"/>
    <d v="2023-02-11T00:00:00"/>
    <x v="2"/>
    <x v="0"/>
    <x v="2"/>
    <n v="299"/>
    <n v="299"/>
    <n v="10.34"/>
    <n v="6.37"/>
    <n v="3"/>
    <n v="2052.02"/>
    <n v="1"/>
    <x v="0"/>
  </r>
  <r>
    <x v="149"/>
    <x v="123"/>
    <d v="2023-03-30T00:00:00"/>
    <x v="5"/>
    <x v="4"/>
    <x v="2"/>
    <n v="248"/>
    <n v="218"/>
    <n v="7.01"/>
    <n v="4.47"/>
    <n v="7"/>
    <n v="1423.04"/>
    <n v="3"/>
    <x v="0"/>
  </r>
  <r>
    <x v="150"/>
    <x v="111"/>
    <d v="2023-07-09T00:00:00"/>
    <x v="1"/>
    <x v="0"/>
    <x v="2"/>
    <n v="367"/>
    <n v="367"/>
    <n v="9.82"/>
    <n v="7.07"/>
    <n v="3"/>
    <n v="3390.88"/>
    <n v="3"/>
    <x v="0"/>
  </r>
  <r>
    <x v="151"/>
    <x v="95"/>
    <d v="2023-02-10T00:00:00"/>
    <x v="5"/>
    <x v="0"/>
    <x v="1"/>
    <n v="207"/>
    <n v="207"/>
    <n v="16.440000000000001"/>
    <n v="9.15"/>
    <n v="7"/>
    <n v="1879.02"/>
    <n v="6"/>
    <x v="0"/>
  </r>
  <r>
    <x v="152"/>
    <x v="78"/>
    <d v="2023-08-21T00:00:00"/>
    <x v="5"/>
    <x v="2"/>
    <x v="0"/>
    <n v="90"/>
    <n v="90"/>
    <n v="15.58"/>
    <n v="10.59"/>
    <n v="7"/>
    <n v="1000.53"/>
    <n v="5"/>
    <x v="0"/>
  </r>
  <r>
    <x v="153"/>
    <x v="37"/>
    <d v="2023-09-14T00:00:00"/>
    <x v="0"/>
    <x v="0"/>
    <x v="1"/>
    <n v="154"/>
    <n v="154"/>
    <n v="14.67"/>
    <n v="8.6999999999999993"/>
    <n v="4"/>
    <n v="1697.7"/>
    <n v="1"/>
    <x v="0"/>
  </r>
  <r>
    <x v="154"/>
    <x v="124"/>
    <d v="2023-03-15T00:00:00"/>
    <x v="5"/>
    <x v="1"/>
    <x v="3"/>
    <n v="108"/>
    <n v="108"/>
    <n v="8.5399999999999991"/>
    <n v="4.8499999999999996"/>
    <n v="7"/>
    <n v="685.74"/>
    <n v="4"/>
    <x v="0"/>
  </r>
  <r>
    <x v="155"/>
    <x v="125"/>
    <d v="2023-10-12T00:00:00"/>
    <x v="4"/>
    <x v="2"/>
    <x v="3"/>
    <n v="100"/>
    <n v="100"/>
    <n v="20.350000000000001"/>
    <n v="13.79"/>
    <n v="6"/>
    <n v="1897.8"/>
    <n v="3"/>
    <x v="0"/>
  </r>
  <r>
    <x v="156"/>
    <x v="8"/>
    <d v="2023-03-17T00:00:00"/>
    <x v="3"/>
    <x v="0"/>
    <x v="1"/>
    <n v="33"/>
    <n v="33"/>
    <n v="13.72"/>
    <n v="8.83"/>
    <n v="5"/>
    <n v="434.11"/>
    <n v="4"/>
    <x v="0"/>
  </r>
  <r>
    <x v="157"/>
    <x v="38"/>
    <d v="2023-02-05T00:00:00"/>
    <x v="7"/>
    <x v="4"/>
    <x v="3"/>
    <n v="289"/>
    <n v="289"/>
    <n v="6.27"/>
    <n v="4.17"/>
    <n v="2"/>
    <n v="1175.24"/>
    <n v="2"/>
    <x v="0"/>
  </r>
  <r>
    <x v="158"/>
    <x v="126"/>
    <d v="2023-08-30T00:00:00"/>
    <x v="4"/>
    <x v="0"/>
    <x v="2"/>
    <n v="85"/>
    <n v="85"/>
    <n v="15.22"/>
    <n v="10.32"/>
    <n v="6"/>
    <n v="885.25"/>
    <n v="3"/>
    <x v="0"/>
  </r>
  <r>
    <x v="159"/>
    <x v="127"/>
    <d v="2023-01-30T00:00:00"/>
    <x v="7"/>
    <x v="3"/>
    <x v="4"/>
    <n v="175"/>
    <n v="175"/>
    <n v="19.87"/>
    <n v="13.75"/>
    <n v="2"/>
    <n v="2665.2"/>
    <n v="1"/>
    <x v="0"/>
  </r>
  <r>
    <x v="160"/>
    <x v="128"/>
    <d v="2023-04-14T00:00:00"/>
    <x v="2"/>
    <x v="0"/>
    <x v="0"/>
    <n v="160"/>
    <n v="160"/>
    <n v="11.78"/>
    <n v="7.74"/>
    <n v="3"/>
    <n v="1487.99"/>
    <n v="3"/>
    <x v="0"/>
  </r>
  <r>
    <x v="161"/>
    <x v="129"/>
    <d v="2023-03-22T00:00:00"/>
    <x v="7"/>
    <x v="4"/>
    <x v="4"/>
    <n v="308"/>
    <n v="218"/>
    <n v="5.09"/>
    <n v="3.77"/>
    <n v="2"/>
    <n v="1582.21"/>
    <n v="2"/>
    <x v="0"/>
  </r>
  <r>
    <x v="162"/>
    <x v="118"/>
    <d v="2023-08-03T00:00:00"/>
    <x v="2"/>
    <x v="1"/>
    <x v="4"/>
    <n v="274"/>
    <n v="274"/>
    <n v="9.02"/>
    <n v="6.12"/>
    <n v="3"/>
    <n v="1813.14"/>
    <n v="1"/>
    <x v="0"/>
  </r>
  <r>
    <x v="163"/>
    <x v="130"/>
    <d v="2023-08-22T00:00:00"/>
    <x v="3"/>
    <x v="3"/>
    <x v="0"/>
    <n v="100"/>
    <n v="100"/>
    <n v="21.81"/>
    <n v="12.89"/>
    <n v="5"/>
    <n v="1629.29"/>
    <n v="1"/>
    <x v="0"/>
  </r>
  <r>
    <x v="164"/>
    <x v="121"/>
    <d v="2023-07-27T00:00:00"/>
    <x v="4"/>
    <x v="2"/>
    <x v="0"/>
    <n v="283"/>
    <n v="283"/>
    <n v="14.87"/>
    <n v="9.57"/>
    <n v="6"/>
    <n v="2872.12"/>
    <n v="3"/>
    <x v="0"/>
  </r>
  <r>
    <x v="165"/>
    <x v="131"/>
    <d v="2023-01-30T00:00:00"/>
    <x v="3"/>
    <x v="1"/>
    <x v="3"/>
    <n v="335"/>
    <n v="362"/>
    <n v="11.02"/>
    <n v="8.0500000000000007"/>
    <n v="5"/>
    <n v="3743.32"/>
    <n v="4"/>
    <x v="0"/>
  </r>
  <r>
    <x v="166"/>
    <x v="37"/>
    <d v="2023-09-23T00:00:00"/>
    <x v="4"/>
    <x v="1"/>
    <x v="1"/>
    <n v="275"/>
    <n v="275"/>
    <n v="8.7899999999999991"/>
    <n v="4.99"/>
    <n v="6"/>
    <n v="1558.8"/>
    <n v="10"/>
    <x v="1"/>
  </r>
  <r>
    <x v="167"/>
    <x v="110"/>
    <d v="2023-10-27T00:00:00"/>
    <x v="5"/>
    <x v="1"/>
    <x v="1"/>
    <n v="164"/>
    <n v="164"/>
    <n v="10.64"/>
    <n v="7.24"/>
    <n v="7"/>
    <n v="1403.88"/>
    <n v="1"/>
    <x v="0"/>
  </r>
  <r>
    <x v="168"/>
    <x v="36"/>
    <d v="2023-03-19T00:00:00"/>
    <x v="1"/>
    <x v="0"/>
    <x v="2"/>
    <n v="207"/>
    <n v="207"/>
    <s v="$12.23"/>
    <n v="7.71"/>
    <n v="3"/>
    <n v="1982.46"/>
    <n v="9"/>
    <x v="1"/>
  </r>
  <r>
    <x v="169"/>
    <x v="72"/>
    <d v="2023-06-02T00:00:00"/>
    <x v="3"/>
    <x v="2"/>
    <x v="4"/>
    <n v="250"/>
    <n v="250"/>
    <n v="14.52"/>
    <n v="10.86"/>
    <n v="5"/>
    <n v="3551.87"/>
    <n v="5"/>
    <x v="0"/>
  </r>
  <r>
    <x v="170"/>
    <x v="132"/>
    <d v="2023-07-24T00:00:00"/>
    <x v="0"/>
    <x v="1"/>
    <x v="3"/>
    <n v="305"/>
    <n v="305"/>
    <n v="10.02"/>
    <n v="5.91"/>
    <n v="4"/>
    <n v="2172.9299999999998"/>
    <n v="3"/>
    <x v="0"/>
  </r>
  <r>
    <x v="171"/>
    <x v="113"/>
    <d v="2023-03-14T00:00:00"/>
    <x v="1"/>
    <x v="0"/>
    <x v="3"/>
    <n v="285"/>
    <n v="285"/>
    <n v="13.97"/>
    <n v="9.1199999999999992"/>
    <n v="3"/>
    <n v="2850.75"/>
    <n v="2"/>
    <x v="0"/>
  </r>
  <r>
    <x v="172"/>
    <x v="133"/>
    <d v="2023-11-15T00:00:00"/>
    <x v="4"/>
    <x v="1"/>
    <x v="2"/>
    <n v="323"/>
    <n v="323"/>
    <n v="10.38"/>
    <n v="6.81"/>
    <n v="6"/>
    <n v="2915.05"/>
    <n v="3"/>
    <x v="0"/>
  </r>
  <r>
    <x v="173"/>
    <x v="134"/>
    <d v="2023-07-09T00:00:00"/>
    <x v="2"/>
    <x v="3"/>
    <x v="3"/>
    <n v="233"/>
    <n v="233"/>
    <n v="25.56"/>
    <n v="17.77"/>
    <n v="3"/>
    <n v="5435.64"/>
    <n v="1"/>
    <x v="0"/>
  </r>
  <r>
    <x v="174"/>
    <x v="27"/>
    <d v="2023-05-24T00:00:00"/>
    <x v="1"/>
    <x v="4"/>
    <x v="2"/>
    <n v="315"/>
    <n v="315"/>
    <n v="4.9800000000000004"/>
    <n v="3.22"/>
    <n v="3"/>
    <n v="1231.9100000000001"/>
    <n v="8"/>
    <x v="1"/>
  </r>
  <r>
    <x v="175"/>
    <x v="135"/>
    <d v="2023-01-18T00:00:00"/>
    <x v="6"/>
    <x v="1"/>
    <x v="1"/>
    <n v="117"/>
    <n v="101"/>
    <n v="8.41"/>
    <n v="5.32"/>
    <n v="4"/>
    <n v="636.34"/>
    <n v="1"/>
    <x v="0"/>
  </r>
  <r>
    <x v="176"/>
    <x v="136"/>
    <d v="2023-09-26T00:00:00"/>
    <x v="5"/>
    <x v="0"/>
    <x v="1"/>
    <n v="359"/>
    <n v="359"/>
    <n v="12.31"/>
    <n v="9.1300000000000008"/>
    <n v="7"/>
    <n v="3853.88"/>
    <n v="3"/>
    <x v="0"/>
  </r>
  <r>
    <x v="177"/>
    <x v="54"/>
    <d v="2023-12-19T00:00:00"/>
    <x v="4"/>
    <x v="4"/>
    <x v="0"/>
    <n v="368"/>
    <n v="368"/>
    <s v="$7.30"/>
    <n v="4.91"/>
    <n v="6"/>
    <n v="1834.63"/>
    <n v="6"/>
    <x v="0"/>
  </r>
  <r>
    <x v="178"/>
    <x v="137"/>
    <d v="2023-06-05T00:00:00"/>
    <x v="3"/>
    <x v="2"/>
    <x v="4"/>
    <n v="167"/>
    <n v="167"/>
    <n v="18.21"/>
    <n v="11.8"/>
    <n v="5"/>
    <n v="2340.84"/>
    <n v="3"/>
    <x v="0"/>
  </r>
  <r>
    <x v="179"/>
    <x v="98"/>
    <d v="2023-10-23T00:00:00"/>
    <x v="2"/>
    <x v="2"/>
    <x v="3"/>
    <n v="222"/>
    <n v="222"/>
    <n v="20.59"/>
    <n v="14.64"/>
    <n v="3"/>
    <n v="3491.47"/>
    <n v="2"/>
    <x v="0"/>
  </r>
  <r>
    <x v="180"/>
    <x v="29"/>
    <d v="2023-08-18T00:00:00"/>
    <x v="2"/>
    <x v="0"/>
    <x v="0"/>
    <n v="265"/>
    <n v="265"/>
    <n v="15.56"/>
    <n v="9.4"/>
    <n v="3"/>
    <n v="3081.89"/>
    <n v="3"/>
    <x v="0"/>
  </r>
  <r>
    <x v="181"/>
    <x v="133"/>
    <d v="2023-11-13T00:00:00"/>
    <x v="2"/>
    <x v="1"/>
    <x v="3"/>
    <n v="144"/>
    <n v="144"/>
    <n v="10.74"/>
    <n v="6.39"/>
    <n v="3"/>
    <n v="956.69"/>
    <n v="1"/>
    <x v="0"/>
  </r>
  <r>
    <x v="182"/>
    <x v="138"/>
    <d v="2023-09-01T00:00:00"/>
    <x v="0"/>
    <x v="3"/>
    <x v="0"/>
    <n v="22"/>
    <n v="22"/>
    <n v="27.73"/>
    <n v="16.13"/>
    <n v="4"/>
    <n v="458.39"/>
    <n v="2"/>
    <x v="0"/>
  </r>
  <r>
    <x v="183"/>
    <x v="72"/>
    <d v="2023-06-03T00:00:00"/>
    <x v="5"/>
    <x v="3"/>
    <x v="5"/>
    <n v="50"/>
    <n v="50"/>
    <n v="17.07"/>
    <n v="11.35"/>
    <n v="7"/>
    <n v="692.97"/>
    <n v="6"/>
    <x v="0"/>
  </r>
  <r>
    <x v="184"/>
    <x v="43"/>
    <d v="2023-04-05T00:00:00"/>
    <x v="1"/>
    <x v="1"/>
    <x v="2"/>
    <n v="223"/>
    <n v="223"/>
    <n v="7.29"/>
    <n v="5.0999999999999996"/>
    <n v="3"/>
    <n v="1618.8"/>
    <n v="4"/>
    <x v="1"/>
  </r>
  <r>
    <x v="185"/>
    <x v="137"/>
    <d v="2023-06-03T00:00:00"/>
    <x v="2"/>
    <x v="0"/>
    <x v="3"/>
    <n v="191"/>
    <n v="191"/>
    <n v="16.72"/>
    <n v="11.01"/>
    <n v="3"/>
    <n v="2515.81"/>
    <n v="1"/>
    <x v="0"/>
  </r>
  <r>
    <x v="186"/>
    <x v="49"/>
    <d v="2023-05-21T00:00:00"/>
    <x v="7"/>
    <x v="4"/>
    <x v="2"/>
    <n v="189"/>
    <n v="189"/>
    <n v="6.45"/>
    <n v="3.88"/>
    <n v="2"/>
    <n v="741.91"/>
    <n v="1"/>
    <x v="0"/>
  </r>
  <r>
    <x v="187"/>
    <x v="85"/>
    <d v="2023-12-14T00:00:00"/>
    <x v="4"/>
    <x v="2"/>
    <x v="4"/>
    <n v="332"/>
    <n v="332"/>
    <n v="20.07"/>
    <n v="14.36"/>
    <n v="6"/>
    <n v="5764.73"/>
    <n v="2"/>
    <x v="0"/>
  </r>
  <r>
    <x v="188"/>
    <x v="139"/>
    <d v="2023-04-13T00:00:00"/>
    <x v="0"/>
    <x v="3"/>
    <x v="3"/>
    <n v="185"/>
    <n v="185"/>
    <n v="16.079999999999998"/>
    <n v="10.08"/>
    <n v="4"/>
    <n v="2178.16"/>
    <n v="8"/>
    <x v="1"/>
  </r>
  <r>
    <x v="189"/>
    <x v="110"/>
    <d v="2023-10-27T00:00:00"/>
    <x v="2"/>
    <x v="2"/>
    <x v="0"/>
    <n v="153"/>
    <n v="153"/>
    <n v="18.23"/>
    <n v="10.25"/>
    <n v="3"/>
    <n v="1522.67"/>
    <n v="1"/>
    <x v="0"/>
  </r>
  <r>
    <x v="190"/>
    <x v="140"/>
    <d v="2023-12-21T00:00:00"/>
    <x v="2"/>
    <x v="1"/>
    <x v="2"/>
    <n v="179"/>
    <n v="179"/>
    <n v="9.4700000000000006"/>
    <n v="6.99"/>
    <n v="3"/>
    <n v="1402.01"/>
    <n v="3"/>
    <x v="0"/>
  </r>
  <r>
    <x v="191"/>
    <x v="48"/>
    <d v="2023-09-07T00:00:00"/>
    <x v="3"/>
    <x v="1"/>
    <x v="1"/>
    <n v="211"/>
    <n v="211"/>
    <n v="9.0399999999999991"/>
    <n v="5.82"/>
    <n v="5"/>
    <n v="0"/>
    <n v="5"/>
    <x v="0"/>
  </r>
  <r>
    <x v="192"/>
    <x v="141"/>
    <d v="2023-02-16T00:00:00"/>
    <x v="3"/>
    <x v="1"/>
    <x v="4"/>
    <n v="380"/>
    <n v="380"/>
    <n v="10.8"/>
    <n v="6.18"/>
    <n v="5"/>
    <n v="0"/>
    <n v="5"/>
    <x v="0"/>
  </r>
  <r>
    <x v="193"/>
    <x v="142"/>
    <d v="2023-03-23T00:00:00"/>
    <x v="3"/>
    <x v="4"/>
    <x v="4"/>
    <n v="246"/>
    <n v="246"/>
    <n v="5.54"/>
    <n v="3.69"/>
    <n v="5"/>
    <n v="866.5"/>
    <n v="5"/>
    <x v="0"/>
  </r>
  <r>
    <x v="194"/>
    <x v="143"/>
    <d v="2023-04-23T00:00:00"/>
    <x v="6"/>
    <x v="2"/>
    <x v="3"/>
    <n v="236"/>
    <n v="236"/>
    <n v="12.57"/>
    <n v="9.41"/>
    <n v="4"/>
    <n v="3243.97"/>
    <n v="1"/>
    <x v="0"/>
  </r>
  <r>
    <x v="195"/>
    <x v="144"/>
    <d v="2023-05-29T00:00:00"/>
    <x v="0"/>
    <x v="3"/>
    <x v="3"/>
    <n v="348"/>
    <n v="348"/>
    <n v="23.75"/>
    <n v="15.06"/>
    <n v="4"/>
    <n v="7838.86"/>
    <n v="2"/>
    <x v="0"/>
  </r>
  <r>
    <x v="196"/>
    <x v="145"/>
    <d v="2023-01-18T00:00:00"/>
    <x v="7"/>
    <x v="1"/>
    <x v="3"/>
    <n v="364"/>
    <n v="364"/>
    <n v="8.44"/>
    <n v="5.28"/>
    <n v="2"/>
    <n v="1994.57"/>
    <n v="6"/>
    <x v="1"/>
  </r>
  <r>
    <x v="197"/>
    <x v="146"/>
    <d v="2023-05-28T00:00:00"/>
    <x v="5"/>
    <x v="2"/>
    <x v="1"/>
    <n v="77"/>
    <n v="74"/>
    <n v="15.77"/>
    <n v="11.09"/>
    <n v="7"/>
    <n v="1221.3399999999999"/>
    <n v="6"/>
    <x v="0"/>
  </r>
  <r>
    <x v="198"/>
    <x v="95"/>
    <d v="2023-02-05T00:00:00"/>
    <x v="1"/>
    <x v="1"/>
    <x v="1"/>
    <n v="248"/>
    <n v="248"/>
    <n v="9.7799999999999994"/>
    <n v="5.47"/>
    <n v="3"/>
    <n v="1823.66"/>
    <n v="1"/>
    <x v="0"/>
  </r>
  <r>
    <x v="199"/>
    <x v="17"/>
    <d v="2023-10-05T00:00:00"/>
    <x v="6"/>
    <x v="3"/>
    <x v="1"/>
    <n v="91"/>
    <n v="91"/>
    <n v="19.47"/>
    <n v="13.89"/>
    <n v="4"/>
    <n v="1692.37"/>
    <n v="1"/>
    <x v="0"/>
  </r>
  <r>
    <x v="200"/>
    <x v="147"/>
    <d v="2023-12-13T00:00:00"/>
    <x v="4"/>
    <x v="4"/>
    <x v="4"/>
    <n v="174"/>
    <n v="174"/>
    <n v="8.35"/>
    <n v="5.46"/>
    <n v="6"/>
    <n v="1090.78"/>
    <n v="2"/>
    <x v="0"/>
  </r>
  <r>
    <x v="201"/>
    <x v="148"/>
    <d v="2023-12-25T00:00:00"/>
    <x v="6"/>
    <x v="4"/>
    <x v="0"/>
    <n v="173"/>
    <n v="173"/>
    <n v="7.52"/>
    <n v="4.8499999999999996"/>
    <n v="4"/>
    <n v="1182.73"/>
    <n v="2"/>
    <x v="0"/>
  </r>
  <r>
    <x v="202"/>
    <x v="149"/>
    <d v="2023-02-01T00:00:00"/>
    <x v="2"/>
    <x v="1"/>
    <x v="2"/>
    <n v="305"/>
    <n v="305"/>
    <n v="8.26"/>
    <n v="4.96"/>
    <n v="3"/>
    <n v="1661.29"/>
    <n v="2"/>
    <x v="0"/>
  </r>
  <r>
    <x v="203"/>
    <x v="150"/>
    <d v="2023-02-19T00:00:00"/>
    <x v="0"/>
    <x v="3"/>
    <x v="0"/>
    <n v="46"/>
    <n v="46"/>
    <n v="24.08"/>
    <n v="16.149999999999999"/>
    <n v="4"/>
    <n v="1058.02"/>
    <n v="2"/>
    <x v="0"/>
  </r>
  <r>
    <x v="204"/>
    <x v="143"/>
    <d v="2023-04-25T00:00:00"/>
    <x v="3"/>
    <x v="4"/>
    <x v="4"/>
    <n v="175"/>
    <n v="175"/>
    <n v="4.8600000000000003"/>
    <n v="3.58"/>
    <n v="5"/>
    <n v="925.49"/>
    <n v="3"/>
    <x v="0"/>
  </r>
  <r>
    <x v="205"/>
    <x v="148"/>
    <d v="2023-12-25T00:00:00"/>
    <x v="0"/>
    <x v="3"/>
    <x v="1"/>
    <n v="223"/>
    <n v="223"/>
    <n v="22.62"/>
    <n v="15.95"/>
    <n v="4"/>
    <n v="4013.54"/>
    <n v="2"/>
    <x v="0"/>
  </r>
  <r>
    <x v="206"/>
    <x v="151"/>
    <d v="2023-07-08T00:00:00"/>
    <x v="4"/>
    <x v="2"/>
    <x v="0"/>
    <n v="258"/>
    <n v="258"/>
    <s v="$20.83"/>
    <n v="13.41"/>
    <n v="6"/>
    <n v="4856.97"/>
    <n v="4"/>
    <x v="0"/>
  </r>
  <r>
    <x v="207"/>
    <x v="71"/>
    <d v="2023-08-02T00:00:00"/>
    <x v="3"/>
    <x v="2"/>
    <x v="0"/>
    <n v="399"/>
    <n v="399"/>
    <s v="$14.35"/>
    <n v="10.58"/>
    <n v="5"/>
    <n v="5266.16"/>
    <n v="2"/>
    <x v="0"/>
  </r>
  <r>
    <x v="208"/>
    <x v="128"/>
    <d v="2023-04-15T00:00:00"/>
    <x v="6"/>
    <x v="2"/>
    <x v="1"/>
    <n v="311"/>
    <n v="311"/>
    <n v="16.489999999999998"/>
    <n v="11.23"/>
    <n v="4"/>
    <n v="4578.3900000000003"/>
    <n v="4"/>
    <x v="0"/>
  </r>
  <r>
    <x v="209"/>
    <x v="152"/>
    <d v="2023-08-26T00:00:00"/>
    <x v="2"/>
    <x v="3"/>
    <x v="2"/>
    <n v="106"/>
    <n v="106"/>
    <n v="22.56"/>
    <n v="13.24"/>
    <n v="3"/>
    <n v="2012"/>
    <n v="2"/>
    <x v="0"/>
  </r>
  <r>
    <x v="210"/>
    <x v="77"/>
    <d v="2023-02-17T00:00:00"/>
    <x v="1"/>
    <x v="4"/>
    <x v="3"/>
    <n v="44"/>
    <n v="44"/>
    <n v="6.28"/>
    <n v="4.51"/>
    <n v="3"/>
    <n v="206.15"/>
    <n v="9"/>
    <x v="1"/>
  </r>
  <r>
    <x v="211"/>
    <x v="1"/>
    <d v="2023-09-17T00:00:00"/>
    <x v="7"/>
    <x v="0"/>
    <x v="1"/>
    <n v="336"/>
    <n v="336"/>
    <n v="16.32"/>
    <n v="11.96"/>
    <n v="2"/>
    <n v="5206.33"/>
    <n v="1"/>
    <x v="0"/>
  </r>
  <r>
    <x v="212"/>
    <x v="30"/>
    <d v="2023-10-11T00:00:00"/>
    <x v="1"/>
    <x v="0"/>
    <x v="4"/>
    <n v="291"/>
    <n v="291"/>
    <n v="13.46"/>
    <n v="8.17"/>
    <n v="3"/>
    <n v="2856.13"/>
    <n v="1"/>
    <x v="0"/>
  </r>
  <r>
    <x v="213"/>
    <x v="153"/>
    <d v="2023-02-21T00:00:00"/>
    <x v="6"/>
    <x v="1"/>
    <x v="3"/>
    <n v="118"/>
    <n v="118"/>
    <n v="7.61"/>
    <n v="4.72"/>
    <n v="4"/>
    <n v="766.91"/>
    <n v="2"/>
    <x v="0"/>
  </r>
  <r>
    <x v="214"/>
    <x v="152"/>
    <d v="2023-08-26T00:00:00"/>
    <x v="0"/>
    <x v="2"/>
    <x v="2"/>
    <n v="173"/>
    <n v="173"/>
    <n v="19.63"/>
    <n v="13.36"/>
    <n v="4"/>
    <n v="3270.3"/>
    <n v="2"/>
    <x v="0"/>
  </r>
  <r>
    <x v="215"/>
    <x v="6"/>
    <d v="2023-07-16T00:00:00"/>
    <x v="1"/>
    <x v="0"/>
    <x v="2"/>
    <n v="48"/>
    <n v="48"/>
    <n v="14.66"/>
    <n v="8.31"/>
    <n v="3"/>
    <n v="561.29999999999995"/>
    <n v="2"/>
    <x v="0"/>
  </r>
  <r>
    <x v="216"/>
    <x v="154"/>
    <d v="2023-09-30T00:00:00"/>
    <x v="4"/>
    <x v="4"/>
    <x v="3"/>
    <n v="128"/>
    <n v="128"/>
    <n v="7.29"/>
    <n v="4.84"/>
    <n v="6"/>
    <n v="658.34"/>
    <n v="2"/>
    <x v="0"/>
  </r>
  <r>
    <x v="217"/>
    <x v="26"/>
    <d v="2023-10-18T00:00:00"/>
    <x v="0"/>
    <x v="2"/>
    <x v="4"/>
    <n v="181"/>
    <n v="139"/>
    <n v="17.28"/>
    <n v="12.1"/>
    <n v="4"/>
    <n v="2907.64"/>
    <n v="2"/>
    <x v="0"/>
  </r>
  <r>
    <x v="218"/>
    <x v="155"/>
    <d v="2023-03-29T00:00:00"/>
    <x v="6"/>
    <x v="0"/>
    <x v="0"/>
    <n v="366"/>
    <n v="366"/>
    <n v="11.99"/>
    <n v="8.41"/>
    <n v="4"/>
    <n v="3028.72"/>
    <n v="4"/>
    <x v="0"/>
  </r>
  <r>
    <x v="219"/>
    <x v="156"/>
    <d v="2023-01-30T00:00:00"/>
    <x v="0"/>
    <x v="4"/>
    <x v="0"/>
    <n v="58"/>
    <n v="58"/>
    <n v="7.57"/>
    <n v="5.61"/>
    <n v="4"/>
    <n v="370.29"/>
    <n v="2"/>
    <x v="0"/>
  </r>
  <r>
    <x v="220"/>
    <x v="45"/>
    <d v="2023-08-22T00:00:00"/>
    <x v="4"/>
    <x v="0"/>
    <x v="0"/>
    <n v="303"/>
    <n v="303"/>
    <n v="12.71"/>
    <n v="8.7200000000000006"/>
    <n v="6"/>
    <n v="3425.3"/>
    <n v="3"/>
    <x v="0"/>
  </r>
  <r>
    <x v="221"/>
    <x v="24"/>
    <d v="2023-05-08T00:00:00"/>
    <x v="0"/>
    <x v="4"/>
    <x v="0"/>
    <n v="157"/>
    <n v="157"/>
    <n v="7.36"/>
    <n v="4.9800000000000004"/>
    <n v="4"/>
    <n v="1050.6600000000001"/>
    <n v="1"/>
    <x v="0"/>
  </r>
  <r>
    <x v="222"/>
    <x v="84"/>
    <d v="2023-02-19T00:00:00"/>
    <x v="4"/>
    <x v="2"/>
    <x v="3"/>
    <n v="247"/>
    <n v="247"/>
    <n v="14.43"/>
    <n v="8.32"/>
    <n v="6"/>
    <n v="2080.59"/>
    <n v="3"/>
    <x v="0"/>
  </r>
  <r>
    <x v="223"/>
    <x v="157"/>
    <d v="2023-09-21T00:00:00"/>
    <x v="5"/>
    <x v="4"/>
    <x v="4"/>
    <n v="65"/>
    <n v="65"/>
    <n v="5.14"/>
    <n v="3.44"/>
    <n v="7"/>
    <n v="244.77"/>
    <n v="1"/>
    <x v="0"/>
  </r>
  <r>
    <x v="224"/>
    <x v="71"/>
    <d v="2023-08-01T00:00:00"/>
    <x v="6"/>
    <x v="0"/>
    <x v="0"/>
    <n v="391"/>
    <n v="391"/>
    <n v="16.12"/>
    <n v="12.02"/>
    <n v="4"/>
    <n v="5842.7"/>
    <n v="1"/>
    <x v="0"/>
  </r>
  <r>
    <x v="225"/>
    <x v="8"/>
    <d v="2023-03-15T00:00:00"/>
    <x v="7"/>
    <x v="3"/>
    <x v="5"/>
    <n v="272"/>
    <n v="272"/>
    <n v="18.010000000000002"/>
    <n v="10.9"/>
    <n v="2"/>
    <n v="3201.54"/>
    <n v="2"/>
    <x v="0"/>
  </r>
  <r>
    <x v="226"/>
    <x v="24"/>
    <d v="2023-05-11T00:00:00"/>
    <x v="0"/>
    <x v="2"/>
    <x v="0"/>
    <n v="324"/>
    <n v="324"/>
    <n v="16.12"/>
    <n v="9.3000000000000007"/>
    <n v="4"/>
    <n v="2724.11"/>
    <n v="4"/>
    <x v="0"/>
  </r>
  <r>
    <x v="227"/>
    <x v="6"/>
    <d v="2023-07-17T00:00:00"/>
    <x v="6"/>
    <x v="2"/>
    <x v="4"/>
    <n v="245"/>
    <n v="245"/>
    <n v="19.34"/>
    <n v="13.96"/>
    <n v="4"/>
    <n v="5077.41"/>
    <n v="3"/>
    <x v="0"/>
  </r>
  <r>
    <x v="228"/>
    <x v="158"/>
    <d v="2023-11-06T00:00:00"/>
    <x v="7"/>
    <x v="2"/>
    <x v="0"/>
    <n v="265"/>
    <n v="265"/>
    <n v="20.68"/>
    <n v="15.38"/>
    <n v="2"/>
    <n v="4380.84"/>
    <n v="1"/>
    <x v="0"/>
  </r>
  <r>
    <x v="229"/>
    <x v="159"/>
    <d v="2023-06-23T00:00:00"/>
    <x v="5"/>
    <x v="4"/>
    <x v="1"/>
    <n v="221"/>
    <n v="248"/>
    <n v="8.16"/>
    <n v="4.8099999999999996"/>
    <n v="7"/>
    <n v="1592.77"/>
    <n v="7"/>
    <x v="0"/>
  </r>
  <r>
    <x v="230"/>
    <x v="160"/>
    <d v="2023-08-26T00:00:00"/>
    <x v="7"/>
    <x v="4"/>
    <x v="3"/>
    <n v="244"/>
    <n v="244"/>
    <n v="7.79"/>
    <n v="4.3899999999999997"/>
    <n v="2"/>
    <n v="1508.91"/>
    <n v="1"/>
    <x v="0"/>
  </r>
  <r>
    <x v="231"/>
    <x v="100"/>
    <d v="2023-11-24T00:00:00"/>
    <x v="6"/>
    <x v="3"/>
    <x v="1"/>
    <n v="357"/>
    <n v="357"/>
    <n v="21.08"/>
    <n v="13.18"/>
    <n v="4"/>
    <n v="5502.52"/>
    <n v="3"/>
    <x v="0"/>
  </r>
  <r>
    <x v="232"/>
    <x v="50"/>
    <d v="2023-10-08T00:00:00"/>
    <x v="5"/>
    <x v="4"/>
    <x v="2"/>
    <n v="374"/>
    <n v="374"/>
    <n v="4.93"/>
    <n v="3.67"/>
    <n v="7"/>
    <n v="1813.15"/>
    <n v="7"/>
    <x v="0"/>
  </r>
  <r>
    <x v="233"/>
    <x v="161"/>
    <d v="2023-12-05T00:00:00"/>
    <x v="0"/>
    <x v="0"/>
    <x v="1"/>
    <n v="351"/>
    <n v="351"/>
    <s v="$13.66"/>
    <n v="9.2799999999999994"/>
    <n v="4"/>
    <n v="4195.53"/>
    <n v="2"/>
    <x v="0"/>
  </r>
  <r>
    <x v="234"/>
    <x v="162"/>
    <d v="2023-01-08T00:00:00"/>
    <x v="4"/>
    <x v="3"/>
    <x v="3"/>
    <n v="281"/>
    <n v="281"/>
    <n v="22.7"/>
    <n v="15.61"/>
    <n v="6"/>
    <n v="4529.49"/>
    <n v="2"/>
    <x v="0"/>
  </r>
  <r>
    <x v="235"/>
    <x v="163"/>
    <d v="2023-12-19T00:00:00"/>
    <x v="4"/>
    <x v="3"/>
    <x v="2"/>
    <n v="97"/>
    <n v="97"/>
    <n v="16.29"/>
    <n v="9.3000000000000007"/>
    <n v="6"/>
    <n v="1037.04"/>
    <n v="5"/>
    <x v="0"/>
  </r>
  <r>
    <x v="236"/>
    <x v="164"/>
    <d v="2023-07-02T00:00:00"/>
    <x v="0"/>
    <x v="0"/>
    <x v="1"/>
    <n v="125"/>
    <n v="125"/>
    <n v="12.11"/>
    <n v="6.9"/>
    <n v="4"/>
    <n v="1149.8800000000001"/>
    <n v="4"/>
    <x v="0"/>
  </r>
  <r>
    <x v="237"/>
    <x v="165"/>
    <d v="2023-06-09T00:00:00"/>
    <x v="5"/>
    <x v="2"/>
    <x v="3"/>
    <n v="78"/>
    <n v="64"/>
    <n v="17.829999999999998"/>
    <n v="12.22"/>
    <n v="7"/>
    <n v="951.84"/>
    <n v="6"/>
    <x v="0"/>
  </r>
  <r>
    <x v="238"/>
    <x v="30"/>
    <d v="2023-10-15T00:00:00"/>
    <x v="3"/>
    <x v="4"/>
    <x v="1"/>
    <n v="238"/>
    <n v="238"/>
    <n v="5.63"/>
    <n v="3.55"/>
    <n v="5"/>
    <n v="853.92"/>
    <n v="5"/>
    <x v="0"/>
  </r>
  <r>
    <x v="239"/>
    <x v="166"/>
    <d v="2023-11-15T00:00:00"/>
    <x v="6"/>
    <x v="3"/>
    <x v="3"/>
    <n v="323"/>
    <n v="323"/>
    <n v="16.05"/>
    <n v="9.52"/>
    <n v="4"/>
    <n v="3281"/>
    <n v="4"/>
    <x v="0"/>
  </r>
  <r>
    <x v="240"/>
    <x v="3"/>
    <d v="2023-10-05T00:00:00"/>
    <x v="0"/>
    <x v="4"/>
    <x v="3"/>
    <n v="120"/>
    <n v="120"/>
    <n v="5.74"/>
    <n v="4.1500000000000004"/>
    <n v="4"/>
    <n v="605.88"/>
    <n v="3"/>
    <x v="0"/>
  </r>
  <r>
    <x v="241"/>
    <x v="108"/>
    <d v="2023-11-10T00:00:00"/>
    <x v="4"/>
    <x v="4"/>
    <x v="2"/>
    <n v="198"/>
    <n v="198"/>
    <n v="6.45"/>
    <n v="3.77"/>
    <n v="6"/>
    <n v="973.5"/>
    <n v="1"/>
    <x v="0"/>
  </r>
  <r>
    <x v="242"/>
    <x v="101"/>
    <d v="2023-02-15T00:00:00"/>
    <x v="2"/>
    <x v="4"/>
    <x v="4"/>
    <n v="80"/>
    <n v="80"/>
    <n v="5.22"/>
    <n v="3.26"/>
    <n v="3"/>
    <n v="256.83999999999997"/>
    <n v="2"/>
    <x v="0"/>
  </r>
  <r>
    <x v="243"/>
    <x v="113"/>
    <d v="2023-03-16T00:00:00"/>
    <x v="6"/>
    <x v="3"/>
    <x v="4"/>
    <n v="115"/>
    <n v="115"/>
    <n v="22.45"/>
    <n v="16.47"/>
    <n v="4"/>
    <n v="2762.31"/>
    <n v="4"/>
    <x v="0"/>
  </r>
  <r>
    <x v="244"/>
    <x v="28"/>
    <d v="2023-09-09T00:00:00"/>
    <x v="7"/>
    <x v="4"/>
    <x v="1"/>
    <n v="181"/>
    <n v="181"/>
    <n v="7.03"/>
    <n v="5.08"/>
    <n v="2"/>
    <n v="1352.65"/>
    <n v="1"/>
    <x v="0"/>
  </r>
  <r>
    <x v="245"/>
    <x v="167"/>
    <d v="2023-07-21T00:00:00"/>
    <x v="5"/>
    <x v="1"/>
    <x v="1"/>
    <n v="354"/>
    <n v="354"/>
    <n v="9.69"/>
    <n v="6.13"/>
    <n v="7"/>
    <n v="3046.57"/>
    <n v="5"/>
    <x v="0"/>
  </r>
  <r>
    <x v="246"/>
    <x v="168"/>
    <d v="2023-10-24T00:00:00"/>
    <x v="5"/>
    <x v="1"/>
    <x v="3"/>
    <n v="132"/>
    <n v="132"/>
    <n v="7.72"/>
    <n v="5.08"/>
    <n v="7"/>
    <n v="671.18"/>
    <n v="7"/>
    <x v="0"/>
  </r>
  <r>
    <x v="247"/>
    <x v="125"/>
    <d v="2023-10-14T00:00:00"/>
    <x v="5"/>
    <x v="4"/>
    <x v="2"/>
    <n v="78"/>
    <n v="78"/>
    <n v="6.76"/>
    <n v="5.0599999999999996"/>
    <n v="7"/>
    <n v="483.57"/>
    <n v="5"/>
    <x v="0"/>
  </r>
  <r>
    <x v="248"/>
    <x v="169"/>
    <d v="2023-02-15T00:00:00"/>
    <x v="5"/>
    <x v="2"/>
    <x v="0"/>
    <n v="141"/>
    <n v="141"/>
    <n v="18.64"/>
    <n v="12.82"/>
    <n v="7"/>
    <n v="2560.73"/>
    <n v="1"/>
    <x v="0"/>
  </r>
  <r>
    <x v="249"/>
    <x v="8"/>
    <d v="2023-03-15T00:00:00"/>
    <x v="6"/>
    <x v="1"/>
    <x v="4"/>
    <n v="50"/>
    <n v="50"/>
    <n v="8.9499999999999993"/>
    <n v="5.99"/>
    <n v="4"/>
    <n v="299.81"/>
    <n v="2"/>
    <x v="0"/>
  </r>
  <r>
    <x v="250"/>
    <x v="170"/>
    <d v="2023-05-25T00:00:00"/>
    <x v="2"/>
    <x v="2"/>
    <x v="4"/>
    <n v="367"/>
    <n v="367"/>
    <n v="13.22"/>
    <n v="9.25"/>
    <n v="3"/>
    <n v="3893.63"/>
    <n v="8"/>
    <x v="1"/>
  </r>
  <r>
    <x v="251"/>
    <x v="171"/>
    <d v="2023-12-31T00:00:00"/>
    <x v="1"/>
    <x v="2"/>
    <x v="1"/>
    <n v="94"/>
    <n v="94"/>
    <n v="19.46"/>
    <n v="13.67"/>
    <n v="3"/>
    <n v="1677.85"/>
    <n v="5"/>
    <x v="1"/>
  </r>
  <r>
    <x v="252"/>
    <x v="172"/>
    <d v="2023-11-24T00:00:00"/>
    <x v="5"/>
    <x v="1"/>
    <x v="4"/>
    <n v="212"/>
    <n v="212"/>
    <n v="9.44"/>
    <n v="6.85"/>
    <n v="7"/>
    <n v="1388.1"/>
    <n v="4"/>
    <x v="0"/>
  </r>
  <r>
    <x v="253"/>
    <x v="173"/>
    <d v="2023-09-08T00:00:00"/>
    <x v="2"/>
    <x v="2"/>
    <x v="2"/>
    <n v="395"/>
    <n v="395"/>
    <n v="20.75"/>
    <n v="14.05"/>
    <n v="3"/>
    <n v="7316.64"/>
    <n v="1"/>
    <x v="0"/>
  </r>
  <r>
    <x v="254"/>
    <x v="143"/>
    <d v="2023-04-28T00:00:00"/>
    <x v="0"/>
    <x v="4"/>
    <x v="2"/>
    <n v="273"/>
    <n v="273"/>
    <n v="7.78"/>
    <n v="4.8"/>
    <n v="4"/>
    <n v="1633.75"/>
    <n v="6"/>
    <x v="1"/>
  </r>
  <r>
    <x v="255"/>
    <x v="39"/>
    <d v="2023-01-31T00:00:00"/>
    <x v="5"/>
    <x v="2"/>
    <x v="3"/>
    <n v="255"/>
    <n v="198"/>
    <n v="15.97"/>
    <n v="8.7899999999999991"/>
    <n v="7"/>
    <n v="0"/>
    <n v="7"/>
    <x v="0"/>
  </r>
  <r>
    <x v="256"/>
    <x v="174"/>
    <d v="2023-03-31T00:00:00"/>
    <x v="3"/>
    <x v="1"/>
    <x v="0"/>
    <n v="67"/>
    <n v="67"/>
    <n v="7.6"/>
    <n v="4.75"/>
    <n v="5"/>
    <n v="459.01"/>
    <n v="8"/>
    <x v="1"/>
  </r>
  <r>
    <x v="257"/>
    <x v="175"/>
    <d v="2023-11-18T00:00:00"/>
    <x v="7"/>
    <x v="0"/>
    <x v="2"/>
    <n v="239"/>
    <n v="239"/>
    <n v="14.67"/>
    <n v="8.07"/>
    <n v="2"/>
    <n v="2287.64"/>
    <n v="1"/>
    <x v="0"/>
  </r>
  <r>
    <x v="258"/>
    <x v="136"/>
    <d v="2023-09-24T00:00:00"/>
    <x v="7"/>
    <x v="4"/>
    <x v="1"/>
    <n v="24"/>
    <n v="24"/>
    <n v="7.74"/>
    <n v="5.79"/>
    <n v="2"/>
    <n v="160.27000000000001"/>
    <n v="1"/>
    <x v="0"/>
  </r>
  <r>
    <x v="259"/>
    <x v="176"/>
    <d v="2023-04-29T00:00:00"/>
    <x v="7"/>
    <x v="3"/>
    <x v="3"/>
    <n v="72"/>
    <n v="72"/>
    <n v="26.57"/>
    <n v="15.34"/>
    <n v="2"/>
    <n v="1506.59"/>
    <n v="1"/>
    <x v="0"/>
  </r>
  <r>
    <x v="260"/>
    <x v="177"/>
    <d v="2023-09-30T00:00:00"/>
    <x v="7"/>
    <x v="1"/>
    <x v="3"/>
    <n v="245"/>
    <n v="245"/>
    <n v="7.42"/>
    <n v="5.19"/>
    <n v="2"/>
    <n v="1846.21"/>
    <n v="1"/>
    <x v="0"/>
  </r>
  <r>
    <x v="261"/>
    <x v="178"/>
    <d v="2023-02-22T00:00:00"/>
    <x v="5"/>
    <x v="1"/>
    <x v="3"/>
    <n v="321"/>
    <n v="321"/>
    <n v="8.09"/>
    <n v="5.14"/>
    <n v="7"/>
    <n v="2268.08"/>
    <n v="1"/>
    <x v="0"/>
  </r>
  <r>
    <x v="262"/>
    <x v="179"/>
    <d v="2023-05-13T00:00:00"/>
    <x v="3"/>
    <x v="2"/>
    <x v="3"/>
    <n v="389"/>
    <n v="389"/>
    <n v="19.010000000000002"/>
    <n v="13.08"/>
    <n v="5"/>
    <n v="0"/>
    <n v="5"/>
    <x v="0"/>
  </r>
  <r>
    <x v="263"/>
    <x v="53"/>
    <d v="2023-11-10T00:00:00"/>
    <x v="2"/>
    <x v="1"/>
    <x v="4"/>
    <n v="220"/>
    <n v="220"/>
    <n v="6.66"/>
    <n v="4.8600000000000003"/>
    <n v="3"/>
    <n v="1574.72"/>
    <n v="3"/>
    <x v="0"/>
  </r>
  <r>
    <x v="264"/>
    <x v="180"/>
    <d v="2023-05-09T00:00:00"/>
    <x v="5"/>
    <x v="3"/>
    <x v="3"/>
    <n v="56"/>
    <n v="56"/>
    <n v="27.73"/>
    <n v="20.72"/>
    <n v="7"/>
    <n v="1694.48"/>
    <n v="5"/>
    <x v="0"/>
  </r>
  <r>
    <x v="265"/>
    <x v="181"/>
    <d v="2023-08-05T00:00:00"/>
    <x v="7"/>
    <x v="3"/>
    <x v="4"/>
    <n v="261"/>
    <n v="261"/>
    <n v="25.24"/>
    <n v="13.97"/>
    <n v="2"/>
    <n v="3429.29"/>
    <n v="1"/>
    <x v="0"/>
  </r>
  <r>
    <x v="266"/>
    <x v="182"/>
    <d v="2023-02-02T00:00:00"/>
    <x v="2"/>
    <x v="1"/>
    <x v="3"/>
    <n v="279"/>
    <n v="279"/>
    <n v="9.82"/>
    <n v="6.91"/>
    <n v="3"/>
    <n v="2225.06"/>
    <n v="2"/>
    <x v="0"/>
  </r>
  <r>
    <x v="267"/>
    <x v="75"/>
    <d v="2023-10-06T00:00:00"/>
    <x v="6"/>
    <x v="0"/>
    <x v="4"/>
    <n v="62"/>
    <n v="62"/>
    <n v="13.28"/>
    <n v="7.84"/>
    <n v="4"/>
    <n v="673.14"/>
    <n v="3"/>
    <x v="0"/>
  </r>
  <r>
    <x v="268"/>
    <x v="100"/>
    <d v="2023-11-27T00:00:00"/>
    <x v="4"/>
    <x v="3"/>
    <x v="4"/>
    <n v="368"/>
    <n v="368"/>
    <n v="19.72"/>
    <n v="12.57"/>
    <n v="6"/>
    <n v="6809.38"/>
    <n v="6"/>
    <x v="0"/>
  </r>
  <r>
    <x v="269"/>
    <x v="183"/>
    <d v="2023-12-30T00:00:00"/>
    <x v="7"/>
    <x v="0"/>
    <x v="3"/>
    <n v="103"/>
    <n v="103"/>
    <n v="12.1"/>
    <n v="7.91"/>
    <n v="2"/>
    <n v="1135.33"/>
    <n v="1"/>
    <x v="0"/>
  </r>
  <r>
    <x v="270"/>
    <x v="14"/>
    <d v="2023-03-08T00:00:00"/>
    <x v="2"/>
    <x v="1"/>
    <x v="0"/>
    <n v="395"/>
    <n v="395"/>
    <n v="10.1"/>
    <n v="5.61"/>
    <n v="3"/>
    <n v="3067.46"/>
    <n v="2"/>
    <x v="0"/>
  </r>
  <r>
    <x v="271"/>
    <x v="184"/>
    <d v="2023-05-18T00:00:00"/>
    <x v="2"/>
    <x v="4"/>
    <x v="3"/>
    <n v="341"/>
    <n v="341"/>
    <n v="6.44"/>
    <n v="4.01"/>
    <n v="3"/>
    <n v="1640.57"/>
    <n v="3"/>
    <x v="0"/>
  </r>
  <r>
    <x v="272"/>
    <x v="185"/>
    <d v="2023-05-07T00:00:00"/>
    <x v="7"/>
    <x v="2"/>
    <x v="1"/>
    <n v="136"/>
    <n v="136"/>
    <n v="12.02"/>
    <n v="8.68"/>
    <n v="2"/>
    <n v="1071.1400000000001"/>
    <s v="Data Error"/>
    <x v="2"/>
  </r>
  <r>
    <x v="273"/>
    <x v="167"/>
    <d v="2023-07-21T00:00:00"/>
    <x v="1"/>
    <x v="3"/>
    <x v="0"/>
    <n v="38"/>
    <n v="38"/>
    <n v="26.97"/>
    <n v="18.829999999999998"/>
    <n v="3"/>
    <n v="824.03"/>
    <n v="5"/>
    <x v="1"/>
  </r>
  <r>
    <x v="274"/>
    <x v="186"/>
    <d v="2023-06-14T00:00:00"/>
    <x v="4"/>
    <x v="1"/>
    <x v="2"/>
    <n v="312"/>
    <n v="312"/>
    <n v="8.81"/>
    <n v="6.43"/>
    <n v="6"/>
    <n v="0"/>
    <n v="1"/>
    <x v="0"/>
  </r>
  <r>
    <x v="275"/>
    <x v="126"/>
    <d v="2023-09-02T00:00:00"/>
    <x v="1"/>
    <x v="3"/>
    <x v="3"/>
    <n v="187"/>
    <n v="187"/>
    <n v="21.48"/>
    <n v="13.4"/>
    <n v="3"/>
    <n v="2693.63"/>
    <n v="6"/>
    <x v="1"/>
  </r>
  <r>
    <x v="276"/>
    <x v="187"/>
    <d v="2023-08-28T00:00:00"/>
    <x v="2"/>
    <x v="4"/>
    <x v="1"/>
    <n v="120"/>
    <n v="120"/>
    <n v="6.77"/>
    <n v="4.8"/>
    <n v="3"/>
    <n v="570.44000000000005"/>
    <n v="2"/>
    <x v="0"/>
  </r>
  <r>
    <x v="277"/>
    <x v="40"/>
    <d v="2023-10-06T00:00:00"/>
    <x v="6"/>
    <x v="0"/>
    <x v="1"/>
    <n v="191"/>
    <n v="175"/>
    <n v="12.31"/>
    <n v="8.59"/>
    <n v="4"/>
    <n v="1779.34"/>
    <n v="1"/>
    <x v="0"/>
  </r>
  <r>
    <x v="278"/>
    <x v="188"/>
    <d v="2023-08-04T00:00:00"/>
    <x v="3"/>
    <x v="4"/>
    <x v="1"/>
    <n v="92"/>
    <n v="92"/>
    <n v="5.13"/>
    <n v="3.77"/>
    <n v="5"/>
    <n v="498.89"/>
    <n v="1"/>
    <x v="0"/>
  </r>
  <r>
    <x v="279"/>
    <x v="51"/>
    <d v="2023-05-16T00:00:00"/>
    <x v="7"/>
    <x v="1"/>
    <x v="0"/>
    <n v="378"/>
    <n v="378"/>
    <n v="7.97"/>
    <n v="5.1100000000000003"/>
    <n v="2"/>
    <n v="2009.17"/>
    <n v="2"/>
    <x v="0"/>
  </r>
  <r>
    <x v="280"/>
    <x v="189"/>
    <d v="2023-02-27T00:00:00"/>
    <x v="3"/>
    <x v="1"/>
    <x v="4"/>
    <n v="250"/>
    <n v="250"/>
    <n v="8.35"/>
    <n v="5.49"/>
    <n v="5"/>
    <n v="2029.63"/>
    <n v="2"/>
    <x v="0"/>
  </r>
  <r>
    <x v="281"/>
    <x v="187"/>
    <d v="2023-08-27T00:00:00"/>
    <x v="3"/>
    <x v="3"/>
    <x v="0"/>
    <n v="66"/>
    <n v="66"/>
    <n v="24.23"/>
    <n v="17.329999999999998"/>
    <n v="5"/>
    <n v="1507.65"/>
    <n v="1"/>
    <x v="0"/>
  </r>
  <r>
    <x v="282"/>
    <x v="92"/>
    <d v="2023-03-18T00:00:00"/>
    <x v="1"/>
    <x v="1"/>
    <x v="0"/>
    <n v="202"/>
    <n v="202"/>
    <n v="6.63"/>
    <n v="4.04"/>
    <n v="3"/>
    <n v="1136.03"/>
    <n v="1"/>
    <x v="0"/>
  </r>
  <r>
    <x v="283"/>
    <x v="190"/>
    <d v="2023-08-21T00:00:00"/>
    <x v="7"/>
    <x v="0"/>
    <x v="2"/>
    <n v="68"/>
    <n v="68"/>
    <n v="15.39"/>
    <n v="8.89"/>
    <n v="2"/>
    <n v="548.4"/>
    <n v="1"/>
    <x v="0"/>
  </r>
  <r>
    <x v="284"/>
    <x v="63"/>
    <d v="2023-07-26T00:00:00"/>
    <x v="3"/>
    <x v="1"/>
    <x v="1"/>
    <n v="318"/>
    <n v="318"/>
    <n v="10.8"/>
    <n v="6.1"/>
    <n v="5"/>
    <n v="2906.4"/>
    <n v="1"/>
    <x v="0"/>
  </r>
  <r>
    <x v="285"/>
    <x v="150"/>
    <d v="2023-02-25T00:00:00"/>
    <x v="3"/>
    <x v="3"/>
    <x v="1"/>
    <n v="82"/>
    <n v="71"/>
    <n v="16.61"/>
    <n v="12.21"/>
    <n v="5"/>
    <n v="1161.31"/>
    <n v="8"/>
    <x v="1"/>
  </r>
  <r>
    <x v="286"/>
    <x v="191"/>
    <d v="2023-07-17T00:00:00"/>
    <x v="6"/>
    <x v="3"/>
    <x v="3"/>
    <n v="201"/>
    <n v="201"/>
    <n v="18.25"/>
    <n v="11.06"/>
    <n v="4"/>
    <n v="3179.1"/>
    <n v="2"/>
    <x v="0"/>
  </r>
  <r>
    <x v="287"/>
    <x v="133"/>
    <d v="2023-11-14T00:00:00"/>
    <x v="1"/>
    <x v="4"/>
    <x v="4"/>
    <n v="275"/>
    <n v="275"/>
    <n v="6.78"/>
    <n v="3.81"/>
    <n v="3"/>
    <n v="1118.8599999999999"/>
    <n v="2"/>
    <x v="0"/>
  </r>
  <r>
    <x v="288"/>
    <x v="192"/>
    <d v="2023-11-27T00:00:00"/>
    <x v="7"/>
    <x v="3"/>
    <x v="1"/>
    <n v="342"/>
    <n v="342"/>
    <n v="22.52"/>
    <n v="12.47"/>
    <n v="2"/>
    <n v="4817.0200000000004"/>
    <n v="1"/>
    <x v="0"/>
  </r>
  <r>
    <x v="289"/>
    <x v="193"/>
    <d v="2023-09-11T00:00:00"/>
    <x v="4"/>
    <x v="3"/>
    <x v="4"/>
    <n v="277"/>
    <n v="277"/>
    <n v="19.25"/>
    <n v="10.69"/>
    <n v="6"/>
    <n v="3725.9"/>
    <n v="5"/>
    <x v="0"/>
  </r>
  <r>
    <x v="290"/>
    <x v="138"/>
    <d v="2023-09-02T00:00:00"/>
    <x v="1"/>
    <x v="2"/>
    <x v="3"/>
    <n v="139"/>
    <n v="139"/>
    <n v="12.9"/>
    <n v="8.7899999999999991"/>
    <n v="3"/>
    <n v="1295.02"/>
    <n v="3"/>
    <x v="0"/>
  </r>
  <r>
    <x v="291"/>
    <x v="194"/>
    <d v="2023-07-15T00:00:00"/>
    <x v="1"/>
    <x v="1"/>
    <x v="4"/>
    <n v="110"/>
    <n v="110"/>
    <n v="7.93"/>
    <n v="5.53"/>
    <n v="3"/>
    <n v="678.42"/>
    <s v="Data Error"/>
    <x v="2"/>
  </r>
  <r>
    <x v="292"/>
    <x v="26"/>
    <d v="2023-10-17T00:00:00"/>
    <x v="1"/>
    <x v="2"/>
    <x v="4"/>
    <n v="272"/>
    <n v="272"/>
    <n v="13.58"/>
    <n v="7.57"/>
    <n v="3"/>
    <n v="1922.53"/>
    <n v="1"/>
    <x v="0"/>
  </r>
  <r>
    <x v="293"/>
    <x v="48"/>
    <d v="2023-09-07T00:00:00"/>
    <x v="3"/>
    <x v="0"/>
    <x v="4"/>
    <n v="123"/>
    <n v="123"/>
    <n v="12.05"/>
    <n v="7.06"/>
    <n v="5"/>
    <n v="1199.6300000000001"/>
    <n v="5"/>
    <x v="0"/>
  </r>
  <r>
    <x v="294"/>
    <x v="92"/>
    <d v="2023-03-19T00:00:00"/>
    <x v="4"/>
    <x v="0"/>
    <x v="3"/>
    <n v="76"/>
    <n v="76"/>
    <n v="15.8"/>
    <n v="11.73"/>
    <n v="6"/>
    <n v="1002.16"/>
    <n v="2"/>
    <x v="0"/>
  </r>
  <r>
    <x v="295"/>
    <x v="195"/>
    <d v="2023-06-24T00:00:00"/>
    <x v="6"/>
    <x v="4"/>
    <x v="3"/>
    <n v="100"/>
    <n v="100"/>
    <n v="6.37"/>
    <n v="4.32"/>
    <n v="4"/>
    <n v="515.08000000000004"/>
    <n v="2"/>
    <x v="0"/>
  </r>
  <r>
    <x v="296"/>
    <x v="196"/>
    <d v="2023-12-27T00:00:00"/>
    <x v="4"/>
    <x v="1"/>
    <x v="4"/>
    <n v="202"/>
    <n v="202"/>
    <n v="9.23"/>
    <n v="5.4"/>
    <n v="6"/>
    <n v="1182.53"/>
    <n v="5"/>
    <x v="0"/>
  </r>
  <r>
    <x v="297"/>
    <x v="197"/>
    <d v="2023-01-04T00:00:00"/>
    <x v="2"/>
    <x v="1"/>
    <x v="1"/>
    <n v="220"/>
    <n v="220"/>
    <n v="10.1"/>
    <n v="6.7"/>
    <n v="3"/>
    <n v="1487.63"/>
    <n v="3"/>
    <x v="0"/>
  </r>
  <r>
    <x v="298"/>
    <x v="198"/>
    <d v="2023-11-28T00:00:00"/>
    <x v="4"/>
    <x v="4"/>
    <x v="1"/>
    <n v="92"/>
    <n v="92"/>
    <n v="5.08"/>
    <n v="3.15"/>
    <n v="6"/>
    <n v="316.38"/>
    <n v="4"/>
    <x v="0"/>
  </r>
  <r>
    <x v="299"/>
    <x v="162"/>
    <d v="2023-01-08T00:00:00"/>
    <x v="0"/>
    <x v="2"/>
    <x v="2"/>
    <n v="374"/>
    <n v="374"/>
    <n v="14.31"/>
    <n v="8.18"/>
    <n v="4"/>
    <n v="2755.74"/>
    <n v="2"/>
    <x v="0"/>
  </r>
  <r>
    <x v="300"/>
    <x v="123"/>
    <d v="2023-03-31T00:00:00"/>
    <x v="6"/>
    <x v="3"/>
    <x v="2"/>
    <n v="213"/>
    <n v="213"/>
    <n v="20.5"/>
    <n v="14.67"/>
    <n v="4"/>
    <n v="4290.97"/>
    <n v="4"/>
    <x v="0"/>
  </r>
  <r>
    <x v="301"/>
    <x v="199"/>
    <d v="2023-02-08T00:00:00"/>
    <x v="3"/>
    <x v="1"/>
    <x v="2"/>
    <n v="170"/>
    <n v="134"/>
    <n v="10.97"/>
    <n v="6.2"/>
    <n v="5"/>
    <n v="1056.17"/>
    <n v="1"/>
    <x v="0"/>
  </r>
  <r>
    <x v="302"/>
    <x v="200"/>
    <d v="2023-10-13T00:00:00"/>
    <x v="6"/>
    <x v="1"/>
    <x v="3"/>
    <n v="193"/>
    <n v="193"/>
    <n v="9.35"/>
    <n v="6.05"/>
    <n v="4"/>
    <n v="1072.5999999999999"/>
    <n v="5"/>
    <x v="1"/>
  </r>
  <r>
    <x v="303"/>
    <x v="23"/>
    <d v="2023-03-24T00:00:00"/>
    <x v="7"/>
    <x v="4"/>
    <x v="2"/>
    <n v="125"/>
    <n v="125"/>
    <n v="6.27"/>
    <n v="4.1399999999999997"/>
    <n v="2"/>
    <n v="753.14"/>
    <n v="2"/>
    <x v="0"/>
  </r>
  <r>
    <x v="304"/>
    <x v="91"/>
    <d v="2023-05-04T00:00:00"/>
    <x v="2"/>
    <x v="2"/>
    <x v="0"/>
    <n v="312"/>
    <n v="312"/>
    <n v="16.420000000000002"/>
    <n v="9.2100000000000009"/>
    <n v="3"/>
    <n v="2592.75"/>
    <n v="2"/>
    <x v="0"/>
  </r>
  <r>
    <x v="305"/>
    <x v="201"/>
    <d v="2023-09-04T00:00:00"/>
    <x v="0"/>
    <x v="2"/>
    <x v="4"/>
    <n v="125"/>
    <n v="125"/>
    <n v="14.63"/>
    <n v="8.2899999999999991"/>
    <n v="4"/>
    <n v="0"/>
    <n v="1"/>
    <x v="0"/>
  </r>
  <r>
    <x v="306"/>
    <x v="184"/>
    <d v="2023-05-17T00:00:00"/>
    <x v="7"/>
    <x v="3"/>
    <x v="3"/>
    <n v="135"/>
    <n v="135"/>
    <s v="$22.77"/>
    <n v="13.21"/>
    <n v="2"/>
    <n v="2350.25"/>
    <n v="2"/>
    <x v="0"/>
  </r>
  <r>
    <x v="307"/>
    <x v="40"/>
    <d v="2023-10-07T00:00:00"/>
    <x v="0"/>
    <x v="0"/>
    <x v="0"/>
    <n v="303"/>
    <n v="303"/>
    <n v="12.39"/>
    <n v="8.11"/>
    <n v="4"/>
    <n v="3635.32"/>
    <n v="2"/>
    <x v="0"/>
  </r>
  <r>
    <x v="308"/>
    <x v="202"/>
    <d v="2023-09-05T00:00:00"/>
    <x v="5"/>
    <x v="4"/>
    <x v="1"/>
    <n v="385"/>
    <n v="342"/>
    <n v="8.0399999999999991"/>
    <n v="5.71"/>
    <n v="7"/>
    <n v="2872.19"/>
    <n v="4"/>
    <x v="0"/>
  </r>
  <r>
    <x v="309"/>
    <x v="203"/>
    <d v="2023-03-31T00:00:00"/>
    <x v="7"/>
    <x v="0"/>
    <x v="2"/>
    <n v="128"/>
    <n v="128"/>
    <n v="10.51"/>
    <n v="6.67"/>
    <n v="2"/>
    <n v="1274.6400000000001"/>
    <n v="1"/>
    <x v="0"/>
  </r>
  <r>
    <x v="310"/>
    <x v="44"/>
    <d v="2023-11-02T00:00:00"/>
    <x v="6"/>
    <x v="1"/>
    <x v="1"/>
    <n v="64"/>
    <n v="64"/>
    <n v="8.31"/>
    <n v="5.1100000000000003"/>
    <n v="4"/>
    <n v="348.53"/>
    <n v="1"/>
    <x v="0"/>
  </r>
  <r>
    <x v="311"/>
    <x v="204"/>
    <d v="2023-11-01T00:00:00"/>
    <x v="5"/>
    <x v="0"/>
    <x v="4"/>
    <n v="77"/>
    <n v="77"/>
    <s v="$10.67"/>
    <n v="7.12"/>
    <n v="7"/>
    <n v="742.88"/>
    <n v="4"/>
    <x v="0"/>
  </r>
  <r>
    <x v="312"/>
    <x v="178"/>
    <d v="2023-02-24T00:00:00"/>
    <x v="0"/>
    <x v="0"/>
    <x v="4"/>
    <n v="230"/>
    <n v="230"/>
    <n v="14.31"/>
    <n v="9.51"/>
    <n v="4"/>
    <n v="2589.39"/>
    <n v="3"/>
    <x v="0"/>
  </r>
  <r>
    <x v="313"/>
    <x v="205"/>
    <d v="2023-03-17T00:00:00"/>
    <x v="7"/>
    <x v="2"/>
    <x v="2"/>
    <n v="39"/>
    <n v="39"/>
    <n v="19.91"/>
    <n v="13.7"/>
    <n v="2"/>
    <n v="496.67"/>
    <n v="2"/>
    <x v="0"/>
  </r>
  <r>
    <x v="314"/>
    <x v="52"/>
    <d v="2023-01-18T00:00:00"/>
    <x v="5"/>
    <x v="2"/>
    <x v="0"/>
    <n v="175"/>
    <n v="175"/>
    <n v="19.59"/>
    <n v="14.14"/>
    <n v="7"/>
    <n v="3243.85"/>
    <n v="7"/>
    <x v="0"/>
  </r>
  <r>
    <x v="315"/>
    <x v="29"/>
    <d v="2023-08-18T00:00:00"/>
    <x v="3"/>
    <x v="1"/>
    <x v="5"/>
    <n v="157"/>
    <n v="157"/>
    <n v="9.3000000000000007"/>
    <n v="5.28"/>
    <n v="5"/>
    <n v="965.76"/>
    <n v="3"/>
    <x v="0"/>
  </r>
  <r>
    <x v="316"/>
    <x v="206"/>
    <d v="2023-07-13T00:00:00"/>
    <x v="6"/>
    <x v="3"/>
    <x v="4"/>
    <n v="53"/>
    <n v="53"/>
    <n v="22.08"/>
    <n v="12.74"/>
    <n v="4"/>
    <n v="952.58"/>
    <n v="2"/>
    <x v="0"/>
  </r>
  <r>
    <x v="317"/>
    <x v="207"/>
    <d v="2023-04-18T00:00:00"/>
    <x v="1"/>
    <x v="1"/>
    <x v="1"/>
    <n v="36"/>
    <n v="36"/>
    <s v="$10.81"/>
    <n v="7.47"/>
    <n v="3"/>
    <n v="286.23"/>
    <n v="5"/>
    <x v="1"/>
  </r>
  <r>
    <x v="318"/>
    <x v="208"/>
    <d v="2023-11-28T00:00:00"/>
    <x v="5"/>
    <x v="4"/>
    <x v="2"/>
    <n v="35"/>
    <n v="35"/>
    <s v="$6.56"/>
    <n v="4.1900000000000004"/>
    <n v="7"/>
    <n v="216.5"/>
    <n v="6"/>
    <x v="0"/>
  </r>
  <r>
    <x v="319"/>
    <x v="209"/>
    <d v="2023-07-06T00:00:00"/>
    <x v="5"/>
    <x v="4"/>
    <x v="4"/>
    <n v="152"/>
    <n v="152"/>
    <n v="7.28"/>
    <n v="4.42"/>
    <n v="7"/>
    <n v="760.48"/>
    <n v="7"/>
    <x v="0"/>
  </r>
  <r>
    <x v="320"/>
    <x v="210"/>
    <d v="2023-04-25T00:00:00"/>
    <x v="7"/>
    <x v="4"/>
    <x v="1"/>
    <n v="157"/>
    <n v="157"/>
    <n v="6.65"/>
    <n v="4.8099999999999996"/>
    <n v="2"/>
    <n v="1117.8699999999999"/>
    <n v="1"/>
    <x v="0"/>
  </r>
  <r>
    <x v="321"/>
    <x v="211"/>
    <d v="2023-11-29T00:00:00"/>
    <x v="1"/>
    <x v="3"/>
    <x v="1"/>
    <n v="134"/>
    <n v="134"/>
    <n v="25.66"/>
    <n v="15.68"/>
    <n v="3"/>
    <n v="3110.11"/>
    <n v="1"/>
    <x v="0"/>
  </r>
  <r>
    <x v="322"/>
    <x v="164"/>
    <d v="2023-06-29T00:00:00"/>
    <x v="2"/>
    <x v="3"/>
    <x v="2"/>
    <n v="258"/>
    <n v="258"/>
    <n v="22.25"/>
    <n v="15.01"/>
    <n v="3"/>
    <n v="4843.41"/>
    <n v="1"/>
    <x v="0"/>
  </r>
  <r>
    <x v="323"/>
    <x v="96"/>
    <d v="2023-10-18T00:00:00"/>
    <x v="1"/>
    <x v="4"/>
    <x v="0"/>
    <n v="164"/>
    <n v="164"/>
    <n v="5.19"/>
    <n v="2.92"/>
    <n v="3"/>
    <n v="714.98"/>
    <n v="3"/>
    <x v="0"/>
  </r>
  <r>
    <x v="324"/>
    <x v="212"/>
    <d v="2023-12-08T00:00:00"/>
    <x v="4"/>
    <x v="2"/>
    <x v="0"/>
    <n v="172"/>
    <n v="172"/>
    <n v="16.66"/>
    <n v="9.9600000000000009"/>
    <n v="6"/>
    <n v="1600.17"/>
    <n v="6"/>
    <x v="0"/>
  </r>
  <r>
    <x v="325"/>
    <x v="213"/>
    <d v="2023-01-17T00:00:00"/>
    <x v="6"/>
    <x v="2"/>
    <x v="1"/>
    <n v="152"/>
    <n v="152"/>
    <n v="15.64"/>
    <n v="10.91"/>
    <n v="4"/>
    <n v="2072.59"/>
    <n v="3"/>
    <x v="0"/>
  </r>
  <r>
    <x v="326"/>
    <x v="140"/>
    <d v="2023-12-22T00:00:00"/>
    <x v="3"/>
    <x v="2"/>
    <x v="1"/>
    <n v="363"/>
    <n v="363"/>
    <n v="14.7"/>
    <n v="8.58"/>
    <n v="5"/>
    <n v="4031.99"/>
    <n v="4"/>
    <x v="0"/>
  </r>
  <r>
    <x v="327"/>
    <x v="138"/>
    <d v="2023-09-01T00:00:00"/>
    <x v="7"/>
    <x v="2"/>
    <x v="3"/>
    <n v="391"/>
    <n v="391"/>
    <n v="18.87"/>
    <n v="11.07"/>
    <n v="2"/>
    <n v="5660.76"/>
    <n v="2"/>
    <x v="0"/>
  </r>
  <r>
    <x v="328"/>
    <x v="5"/>
    <d v="2023-07-04T00:00:00"/>
    <x v="4"/>
    <x v="0"/>
    <x v="1"/>
    <n v="235"/>
    <n v="235"/>
    <n v="11.99"/>
    <n v="7.22"/>
    <n v="6"/>
    <n v="1826.38"/>
    <n v="3"/>
    <x v="0"/>
  </r>
  <r>
    <x v="329"/>
    <x v="100"/>
    <d v="2023-11-22T00:00:00"/>
    <x v="0"/>
    <x v="3"/>
    <x v="3"/>
    <n v="261"/>
    <n v="261"/>
    <n v="22.01"/>
    <n v="15.92"/>
    <n v="4"/>
    <n v="4691.1400000000003"/>
    <n v="1"/>
    <x v="0"/>
  </r>
  <r>
    <x v="330"/>
    <x v="214"/>
    <d v="2023-03-20T00:00:00"/>
    <x v="2"/>
    <x v="3"/>
    <x v="3"/>
    <n v="195"/>
    <n v="195"/>
    <n v="22.83"/>
    <n v="16.7"/>
    <n v="3"/>
    <n v="3824.9"/>
    <n v="1"/>
    <x v="0"/>
  </r>
  <r>
    <x v="331"/>
    <x v="173"/>
    <d v="2023-09-09T00:00:00"/>
    <x v="4"/>
    <x v="1"/>
    <x v="3"/>
    <n v="180"/>
    <n v="180"/>
    <n v="6.42"/>
    <n v="3.88"/>
    <n v="6"/>
    <n v="947.53"/>
    <n v="2"/>
    <x v="0"/>
  </r>
  <r>
    <x v="332"/>
    <x v="28"/>
    <d v="2023-09-09T00:00:00"/>
    <x v="7"/>
    <x v="4"/>
    <x v="1"/>
    <n v="86"/>
    <n v="86"/>
    <n v="7.08"/>
    <n v="4.47"/>
    <n v="2"/>
    <n v="568.63"/>
    <n v="1"/>
    <x v="0"/>
  </r>
  <r>
    <x v="333"/>
    <x v="50"/>
    <d v="2023-10-04T00:00:00"/>
    <x v="6"/>
    <x v="0"/>
    <x v="3"/>
    <n v="27"/>
    <n v="27"/>
    <n v="15.05"/>
    <n v="9.8800000000000008"/>
    <n v="4"/>
    <n v="242.95"/>
    <n v="3"/>
    <x v="0"/>
  </r>
  <r>
    <x v="334"/>
    <x v="196"/>
    <d v="2023-12-28T00:00:00"/>
    <x v="1"/>
    <x v="1"/>
    <x v="1"/>
    <n v="86"/>
    <n v="86"/>
    <n v="8.82"/>
    <n v="5.39"/>
    <n v="3"/>
    <n v="435.34"/>
    <n v="6"/>
    <x v="1"/>
  </r>
  <r>
    <x v="335"/>
    <x v="80"/>
    <d v="2023-08-30T00:00:00"/>
    <x v="1"/>
    <x v="2"/>
    <x v="0"/>
    <n v="288"/>
    <n v="288"/>
    <n v="19.989999999999998"/>
    <n v="14.97"/>
    <n v="3"/>
    <n v="4766.8100000000004"/>
    <n v="8"/>
    <x v="1"/>
  </r>
  <r>
    <x v="336"/>
    <x v="67"/>
    <d v="2023-04-02T00:00:00"/>
    <x v="5"/>
    <x v="2"/>
    <x v="1"/>
    <n v="226"/>
    <n v="186"/>
    <n v="18.54"/>
    <n v="10.68"/>
    <n v="7"/>
    <n v="3235.41"/>
    <n v="7"/>
    <x v="0"/>
  </r>
  <r>
    <x v="337"/>
    <x v="215"/>
    <d v="2024-01-01T00:00:00"/>
    <x v="7"/>
    <x v="0"/>
    <x v="0"/>
    <n v="212"/>
    <n v="212"/>
    <n v="11.44"/>
    <n v="7.52"/>
    <n v="2"/>
    <n v="1481.29"/>
    <n v="1"/>
    <x v="0"/>
  </r>
  <r>
    <x v="338"/>
    <x v="216"/>
    <d v="2023-01-27T00:00:00"/>
    <x v="1"/>
    <x v="0"/>
    <x v="3"/>
    <n v="247"/>
    <n v="247"/>
    <n v="13.54"/>
    <n v="8.73"/>
    <n v="3"/>
    <n v="2138.79"/>
    <n v="2"/>
    <x v="0"/>
  </r>
  <r>
    <x v="339"/>
    <x v="4"/>
    <d v="2023-12-08T00:00:00"/>
    <x v="1"/>
    <x v="2"/>
    <x v="2"/>
    <n v="158"/>
    <n v="158"/>
    <n v="18.309999999999999"/>
    <n v="11.6"/>
    <n v="3"/>
    <n v="2637.72"/>
    <n v="3"/>
    <x v="0"/>
  </r>
  <r>
    <x v="340"/>
    <x v="217"/>
    <d v="2023-02-26T00:00:00"/>
    <x v="0"/>
    <x v="2"/>
    <x v="3"/>
    <n v="154"/>
    <n v="154"/>
    <n v="20.76"/>
    <n v="12.9"/>
    <n v="4"/>
    <n v="2276.35"/>
    <n v="2"/>
    <x v="0"/>
  </r>
  <r>
    <x v="341"/>
    <x v="218"/>
    <d v="2023-09-14T00:00:00"/>
    <x v="7"/>
    <x v="0"/>
    <x v="4"/>
    <n v="189"/>
    <n v="189"/>
    <n v="9.69"/>
    <n v="5.5"/>
    <n v="2"/>
    <n v="1004.43"/>
    <n v="2"/>
    <x v="0"/>
  </r>
  <r>
    <x v="342"/>
    <x v="219"/>
    <d v="2023-09-25T00:00:00"/>
    <x v="5"/>
    <x v="1"/>
    <x v="3"/>
    <n v="71"/>
    <n v="71"/>
    <n v="9.49"/>
    <n v="6.09"/>
    <n v="7"/>
    <n v="642.69000000000005"/>
    <n v="6"/>
    <x v="0"/>
  </r>
  <r>
    <x v="343"/>
    <x v="178"/>
    <d v="2023-02-22T00:00:00"/>
    <x v="2"/>
    <x v="3"/>
    <x v="3"/>
    <n v="168"/>
    <n v="168"/>
    <n v="24.12"/>
    <n v="15.32"/>
    <n v="3"/>
    <n v="2495.36"/>
    <n v="1"/>
    <x v="0"/>
  </r>
  <r>
    <x v="344"/>
    <x v="220"/>
    <d v="2023-12-08T00:00:00"/>
    <x v="1"/>
    <x v="0"/>
    <x v="1"/>
    <n v="203"/>
    <n v="203"/>
    <n v="16.48"/>
    <n v="9.9499999999999993"/>
    <n v="3"/>
    <n v="2706.28"/>
    <n v="2"/>
    <x v="0"/>
  </r>
  <r>
    <x v="345"/>
    <x v="83"/>
    <d v="2023-03-04T00:00:00"/>
    <x v="4"/>
    <x v="2"/>
    <x v="1"/>
    <n v="159"/>
    <n v="159"/>
    <n v="18.21"/>
    <n v="11.76"/>
    <n v="6"/>
    <n v="2156.0100000000002"/>
    <n v="4"/>
    <x v="0"/>
  </r>
  <r>
    <x v="346"/>
    <x v="148"/>
    <d v="2023-12-24T00:00:00"/>
    <x v="7"/>
    <x v="0"/>
    <x v="1"/>
    <n v="73"/>
    <n v="73"/>
    <n v="13.85"/>
    <n v="9.84"/>
    <n v="2"/>
    <n v="938.87"/>
    <n v="1"/>
    <x v="0"/>
  </r>
  <r>
    <x v="347"/>
    <x v="221"/>
    <d v="2023-07-01T00:00:00"/>
    <x v="7"/>
    <x v="4"/>
    <x v="2"/>
    <n v="267"/>
    <n v="267"/>
    <n v="5.21"/>
    <n v="3.29"/>
    <n v="2"/>
    <n v="814.82"/>
    <s v="Data Error"/>
    <x v="2"/>
  </r>
  <r>
    <x v="348"/>
    <x v="222"/>
    <d v="2023-12-30T00:00:00"/>
    <x v="2"/>
    <x v="2"/>
    <x v="3"/>
    <n v="400"/>
    <n v="400"/>
    <n v="17.09"/>
    <n v="12.74"/>
    <n v="3"/>
    <n v="6634.52"/>
    <n v="3"/>
    <x v="0"/>
  </r>
  <r>
    <x v="349"/>
    <x v="41"/>
    <d v="2023-12-20T00:00:00"/>
    <x v="4"/>
    <x v="4"/>
    <x v="4"/>
    <n v="241"/>
    <n v="241"/>
    <n v="5.69"/>
    <n v="3.52"/>
    <n v="6"/>
    <n v="1107.72"/>
    <n v="1"/>
    <x v="0"/>
  </r>
  <r>
    <x v="350"/>
    <x v="223"/>
    <d v="2023-11-12T00:00:00"/>
    <x v="6"/>
    <x v="1"/>
    <x v="4"/>
    <n v="278"/>
    <n v="306"/>
    <n v="10.49"/>
    <n v="7.59"/>
    <n v="4"/>
    <n v="1993.8"/>
    <n v="2"/>
    <x v="0"/>
  </r>
  <r>
    <x v="351"/>
    <x v="224"/>
    <d v="2023-06-20T00:00:00"/>
    <x v="5"/>
    <x v="2"/>
    <x v="1"/>
    <n v="279"/>
    <n v="279"/>
    <n v="17.79"/>
    <n v="11.22"/>
    <n v="7"/>
    <n v="3258.73"/>
    <n v="1"/>
    <x v="0"/>
  </r>
  <r>
    <x v="352"/>
    <x v="59"/>
    <d v="2023-08-22T00:00:00"/>
    <x v="5"/>
    <x v="3"/>
    <x v="5"/>
    <n v="248"/>
    <n v="248"/>
    <n v="27.77"/>
    <n v="19.41"/>
    <n v="7"/>
    <n v="4383.63"/>
    <n v="4"/>
    <x v="0"/>
  </r>
  <r>
    <x v="353"/>
    <x v="64"/>
    <d v="2023-10-14T00:00:00"/>
    <x v="6"/>
    <x v="3"/>
    <x v="3"/>
    <n v="329"/>
    <n v="329"/>
    <n v="23.65"/>
    <n v="17.22"/>
    <n v="4"/>
    <n v="0"/>
    <n v="1"/>
    <x v="0"/>
  </r>
  <r>
    <x v="354"/>
    <x v="156"/>
    <d v="2023-02-04T00:00:00"/>
    <x v="5"/>
    <x v="2"/>
    <x v="0"/>
    <n v="252"/>
    <n v="252"/>
    <n v="18.91"/>
    <n v="12.67"/>
    <n v="7"/>
    <n v="4246.46"/>
    <n v="7"/>
    <x v="0"/>
  </r>
  <r>
    <x v="355"/>
    <x v="153"/>
    <d v="2023-02-21T00:00:00"/>
    <x v="4"/>
    <x v="3"/>
    <x v="3"/>
    <n v="21"/>
    <n v="21"/>
    <n v="25.96"/>
    <n v="19.29"/>
    <n v="6"/>
    <n v="435.55"/>
    <n v="2"/>
    <x v="0"/>
  </r>
  <r>
    <x v="356"/>
    <x v="67"/>
    <d v="2023-04-01T00:00:00"/>
    <x v="4"/>
    <x v="0"/>
    <x v="3"/>
    <n v="400"/>
    <n v="400"/>
    <n v="10.37"/>
    <n v="6.97"/>
    <n v="6"/>
    <n v="2822.92"/>
    <n v="6"/>
    <x v="0"/>
  </r>
  <r>
    <x v="357"/>
    <x v="19"/>
    <d v="2023-04-09T00:00:00"/>
    <x v="6"/>
    <x v="1"/>
    <x v="2"/>
    <n v="232"/>
    <n v="177"/>
    <n v="10.11"/>
    <n v="6.47"/>
    <n v="4"/>
    <n v="1943.96"/>
    <n v="1"/>
    <x v="0"/>
  </r>
  <r>
    <x v="358"/>
    <x v="177"/>
    <d v="2023-10-01T00:00:00"/>
    <x v="7"/>
    <x v="3"/>
    <x v="3"/>
    <n v="319"/>
    <n v="319"/>
    <n v="22.1"/>
    <n v="16.23"/>
    <n v="2"/>
    <n v="5210.1000000000004"/>
    <n v="2"/>
    <x v="0"/>
  </r>
  <r>
    <x v="359"/>
    <x v="194"/>
    <d v="2023-07-20T00:00:00"/>
    <x v="7"/>
    <x v="1"/>
    <x v="3"/>
    <n v="278"/>
    <n v="278"/>
    <n v="8.41"/>
    <n v="5.65"/>
    <n v="2"/>
    <n v="2066.27"/>
    <n v="2"/>
    <x v="0"/>
  </r>
  <r>
    <x v="360"/>
    <x v="225"/>
    <d v="2023-07-04T00:00:00"/>
    <x v="3"/>
    <x v="2"/>
    <x v="2"/>
    <n v="88"/>
    <n v="88"/>
    <n v="17.420000000000002"/>
    <n v="12.67"/>
    <n v="5"/>
    <n v="1346.18"/>
    <n v="9"/>
    <x v="1"/>
  </r>
  <r>
    <x v="361"/>
    <x v="207"/>
    <d v="2023-04-19T00:00:00"/>
    <x v="4"/>
    <x v="4"/>
    <x v="1"/>
    <n v="168"/>
    <n v="168"/>
    <n v="8.1199999999999992"/>
    <n v="4.68"/>
    <n v="6"/>
    <n v="1042.74"/>
    <n v="6"/>
    <x v="0"/>
  </r>
  <r>
    <x v="362"/>
    <x v="196"/>
    <d v="2023-12-23T00:00:00"/>
    <x v="7"/>
    <x v="4"/>
    <x v="4"/>
    <n v="200"/>
    <n v="200"/>
    <n v="6.9"/>
    <n v="5.0999999999999996"/>
    <n v="2"/>
    <n v="1352.6"/>
    <n v="1"/>
    <x v="0"/>
  </r>
  <r>
    <x v="363"/>
    <x v="89"/>
    <d v="2023-02-03T00:00:00"/>
    <x v="2"/>
    <x v="2"/>
    <x v="1"/>
    <n v="124"/>
    <n v="124"/>
    <n v="12.29"/>
    <n v="8.76"/>
    <n v="3"/>
    <n v="1044.4100000000001"/>
    <n v="2"/>
    <x v="0"/>
  </r>
  <r>
    <x v="364"/>
    <x v="91"/>
    <d v="2023-05-05T00:00:00"/>
    <x v="3"/>
    <x v="4"/>
    <x v="2"/>
    <n v="374"/>
    <n v="374"/>
    <n v="8.14"/>
    <n v="5.1100000000000003"/>
    <n v="5"/>
    <n v="2817.06"/>
    <n v="3"/>
    <x v="0"/>
  </r>
  <r>
    <x v="365"/>
    <x v="226"/>
    <d v="2023-01-09T00:00:00"/>
    <x v="4"/>
    <x v="4"/>
    <x v="3"/>
    <n v="337"/>
    <n v="337"/>
    <n v="7.9"/>
    <n v="5.05"/>
    <n v="6"/>
    <n v="1761.97"/>
    <n v="2"/>
    <x v="0"/>
  </r>
  <r>
    <x v="366"/>
    <x v="158"/>
    <d v="2023-11-11T00:00:00"/>
    <x v="4"/>
    <x v="4"/>
    <x v="4"/>
    <n v="119"/>
    <n v="119"/>
    <n v="5.44"/>
    <n v="3.73"/>
    <n v="6"/>
    <n v="449.28"/>
    <n v="6"/>
    <x v="0"/>
  </r>
  <r>
    <x v="367"/>
    <x v="227"/>
    <d v="2023-07-15T00:00:00"/>
    <x v="7"/>
    <x v="4"/>
    <x v="3"/>
    <n v="304"/>
    <n v="304"/>
    <s v="$5.38"/>
    <n v="3.87"/>
    <n v="2"/>
    <n v="1062.82"/>
    <n v="2"/>
    <x v="0"/>
  </r>
  <r>
    <x v="368"/>
    <x v="129"/>
    <d v="2023-03-25T00:00:00"/>
    <x v="5"/>
    <x v="1"/>
    <x v="3"/>
    <n v="46"/>
    <n v="46"/>
    <n v="9.4"/>
    <n v="6.76"/>
    <n v="7"/>
    <n v="336.05"/>
    <n v="5"/>
    <x v="0"/>
  </r>
  <r>
    <x v="369"/>
    <x v="228"/>
    <d v="2023-09-29T00:00:00"/>
    <x v="4"/>
    <x v="0"/>
    <x v="0"/>
    <n v="286"/>
    <n v="286"/>
    <n v="13.24"/>
    <n v="8.3800000000000008"/>
    <n v="6"/>
    <n v="2929.27"/>
    <n v="2"/>
    <x v="0"/>
  </r>
  <r>
    <x v="370"/>
    <x v="229"/>
    <d v="2023-04-23T00:00:00"/>
    <x v="0"/>
    <x v="2"/>
    <x v="1"/>
    <n v="204"/>
    <n v="204"/>
    <n v="20.55"/>
    <n v="13.84"/>
    <n v="4"/>
    <n v="3345.44"/>
    <n v="3"/>
    <x v="0"/>
  </r>
  <r>
    <x v="371"/>
    <x v="230"/>
    <d v="2023-08-20T00:00:00"/>
    <x v="1"/>
    <x v="0"/>
    <x v="0"/>
    <n v="334"/>
    <n v="334"/>
    <n v="11.36"/>
    <n v="6.34"/>
    <n v="3"/>
    <n v="3031.07"/>
    <n v="3"/>
    <x v="0"/>
  </r>
  <r>
    <x v="372"/>
    <x v="231"/>
    <d v="2023-05-15T00:00:00"/>
    <x v="6"/>
    <x v="0"/>
    <x v="2"/>
    <n v="32"/>
    <n v="32"/>
    <n v="15.52"/>
    <n v="9.6999999999999993"/>
    <n v="4"/>
    <n v="428.88"/>
    <n v="3"/>
    <x v="0"/>
  </r>
  <r>
    <x v="373"/>
    <x v="22"/>
    <d v="2023-06-03T00:00:00"/>
    <x v="5"/>
    <x v="3"/>
    <x v="3"/>
    <n v="184"/>
    <n v="184"/>
    <n v="27.38"/>
    <n v="15.98"/>
    <n v="7"/>
    <n v="4333.34"/>
    <n v="2"/>
    <x v="0"/>
  </r>
  <r>
    <x v="374"/>
    <x v="15"/>
    <d v="2023-12-11T00:00:00"/>
    <x v="1"/>
    <x v="0"/>
    <x v="1"/>
    <n v="370"/>
    <n v="370"/>
    <n v="10.35"/>
    <n v="6.81"/>
    <n v="3"/>
    <n v="3330.15"/>
    <n v="1"/>
    <x v="0"/>
  </r>
  <r>
    <x v="375"/>
    <x v="32"/>
    <d v="2023-01-16T00:00:00"/>
    <x v="6"/>
    <x v="0"/>
    <x v="1"/>
    <n v="39"/>
    <n v="39"/>
    <n v="9.99"/>
    <n v="7.08"/>
    <n v="4"/>
    <n v="340.97"/>
    <n v="3"/>
    <x v="0"/>
  </r>
  <r>
    <x v="376"/>
    <x v="194"/>
    <d v="2023-07-22T00:00:00"/>
    <x v="3"/>
    <x v="2"/>
    <x v="2"/>
    <n v="241"/>
    <n v="241"/>
    <n v="15.51"/>
    <n v="8.9"/>
    <n v="5"/>
    <n v="1938"/>
    <n v="4"/>
    <x v="0"/>
  </r>
  <r>
    <x v="377"/>
    <x v="232"/>
    <d v="2023-12-28T00:00:00"/>
    <x v="0"/>
    <x v="4"/>
    <x v="3"/>
    <n v="277"/>
    <n v="277"/>
    <n v="7.63"/>
    <n v="4.66"/>
    <n v="4"/>
    <n v="1228.74"/>
    <n v="3"/>
    <x v="0"/>
  </r>
  <r>
    <x v="378"/>
    <x v="4"/>
    <d v="2023-12-07T00:00:00"/>
    <x v="5"/>
    <x v="3"/>
    <x v="2"/>
    <n v="293"/>
    <n v="293"/>
    <n v="24.96"/>
    <n v="17.71"/>
    <n v="7"/>
    <n v="7314.87"/>
    <n v="2"/>
    <x v="0"/>
  </r>
  <r>
    <x v="379"/>
    <x v="54"/>
    <d v="2023-12-16T00:00:00"/>
    <x v="2"/>
    <x v="1"/>
    <x v="0"/>
    <n v="351"/>
    <n v="351"/>
    <n v="10.96"/>
    <n v="7.24"/>
    <n v="3"/>
    <n v="3133.46"/>
    <n v="3"/>
    <x v="0"/>
  </r>
  <r>
    <x v="380"/>
    <x v="98"/>
    <d v="2023-10-22T00:00:00"/>
    <x v="0"/>
    <x v="0"/>
    <x v="3"/>
    <n v="176"/>
    <n v="176"/>
    <n v="14.94"/>
    <n v="10.39"/>
    <n v="4"/>
    <n v="1878.09"/>
    <n v="1"/>
    <x v="0"/>
  </r>
  <r>
    <x v="381"/>
    <x v="210"/>
    <d v="2023-04-26T00:00:00"/>
    <x v="7"/>
    <x v="1"/>
    <x v="1"/>
    <n v="119"/>
    <n v="119"/>
    <n v="9.6199999999999992"/>
    <n v="6.38"/>
    <n v="2"/>
    <n v="708.07"/>
    <n v="2"/>
    <x v="0"/>
  </r>
  <r>
    <x v="382"/>
    <x v="233"/>
    <d v="2023-06-01T00:00:00"/>
    <x v="5"/>
    <x v="4"/>
    <x v="3"/>
    <n v="70"/>
    <n v="70"/>
    <n v="6.89"/>
    <n v="5.0999999999999996"/>
    <n v="7"/>
    <n v="397.8"/>
    <n v="3"/>
    <x v="0"/>
  </r>
  <r>
    <x v="383"/>
    <x v="65"/>
    <d v="2023-11-16T00:00:00"/>
    <x v="3"/>
    <x v="0"/>
    <x v="0"/>
    <n v="182"/>
    <n v="182"/>
    <n v="11.96"/>
    <n v="8.16"/>
    <n v="5"/>
    <n v="1954.53"/>
    <n v="2"/>
    <x v="0"/>
  </r>
  <r>
    <x v="384"/>
    <x v="111"/>
    <d v="2023-07-08T00:00:00"/>
    <x v="7"/>
    <x v="4"/>
    <x v="4"/>
    <n v="106"/>
    <n v="89"/>
    <n v="7.63"/>
    <n v="5.28"/>
    <n v="2"/>
    <n v="718.91"/>
    <n v="2"/>
    <x v="0"/>
  </r>
  <r>
    <x v="385"/>
    <x v="163"/>
    <d v="2023-12-16T00:00:00"/>
    <x v="2"/>
    <x v="2"/>
    <x v="1"/>
    <n v="256"/>
    <n v="256"/>
    <n v="18.97"/>
    <n v="12.28"/>
    <n v="3"/>
    <n v="3034.59"/>
    <n v="2"/>
    <x v="0"/>
  </r>
  <r>
    <x v="386"/>
    <x v="75"/>
    <d v="2023-10-04T00:00:00"/>
    <x v="0"/>
    <x v="2"/>
    <x v="1"/>
    <n v="392"/>
    <n v="392"/>
    <n v="12.17"/>
    <n v="7.93"/>
    <n v="4"/>
    <n v="2855.89"/>
    <n v="1"/>
    <x v="0"/>
  </r>
  <r>
    <x v="387"/>
    <x v="70"/>
    <d v="2023-01-23T00:00:00"/>
    <x v="6"/>
    <x v="4"/>
    <x v="1"/>
    <n v="354"/>
    <n v="354"/>
    <n v="6.12"/>
    <n v="3.64"/>
    <n v="4"/>
    <n v="1756.68"/>
    <n v="4"/>
    <x v="0"/>
  </r>
  <r>
    <x v="388"/>
    <x v="234"/>
    <d v="2023-09-10T00:00:00"/>
    <x v="2"/>
    <x v="1"/>
    <x v="2"/>
    <n v="206"/>
    <n v="206"/>
    <n v="9.58"/>
    <n v="6.89"/>
    <n v="3"/>
    <n v="1964.26"/>
    <s v="Data Error"/>
    <x v="2"/>
  </r>
  <r>
    <x v="389"/>
    <x v="230"/>
    <d v="2023-08-18T00:00:00"/>
    <x v="7"/>
    <x v="4"/>
    <x v="1"/>
    <n v="396"/>
    <n v="396"/>
    <n v="8.18"/>
    <n v="4.57"/>
    <n v="2"/>
    <n v="2455.58"/>
    <n v="1"/>
    <x v="0"/>
  </r>
  <r>
    <x v="390"/>
    <x v="87"/>
    <d v="2023-07-11T00:00:00"/>
    <x v="3"/>
    <x v="0"/>
    <x v="0"/>
    <n v="285"/>
    <n v="285"/>
    <n v="12.2"/>
    <n v="7.86"/>
    <n v="5"/>
    <n v="2627.16"/>
    <n v="2"/>
    <x v="0"/>
  </r>
  <r>
    <x v="391"/>
    <x v="62"/>
    <d v="2023-02-25T00:00:00"/>
    <x v="1"/>
    <x v="0"/>
    <x v="0"/>
    <n v="344"/>
    <n v="344"/>
    <n v="15.61"/>
    <n v="9.41"/>
    <n v="3"/>
    <n v="3970.59"/>
    <n v="3"/>
    <x v="0"/>
  </r>
  <r>
    <x v="392"/>
    <x v="235"/>
    <d v="2023-07-08T00:00:00"/>
    <x v="7"/>
    <x v="3"/>
    <x v="2"/>
    <n v="284"/>
    <n v="284"/>
    <n v="27.67"/>
    <n v="16.45"/>
    <n v="2"/>
    <n v="5342.23"/>
    <n v="1"/>
    <x v="0"/>
  </r>
  <r>
    <x v="393"/>
    <x v="93"/>
    <d v="2023-11-08T00:00:00"/>
    <x v="4"/>
    <x v="3"/>
    <x v="2"/>
    <n v="245"/>
    <n v="245"/>
    <n v="16.93"/>
    <n v="11.49"/>
    <n v="6"/>
    <n v="2890.8"/>
    <n v="2"/>
    <x v="0"/>
  </r>
  <r>
    <x v="394"/>
    <x v="158"/>
    <d v="2023-11-06T00:00:00"/>
    <x v="7"/>
    <x v="1"/>
    <x v="0"/>
    <n v="358"/>
    <n v="358"/>
    <n v="10.29"/>
    <n v="7.14"/>
    <n v="2"/>
    <n v="3039"/>
    <n v="1"/>
    <x v="0"/>
  </r>
  <r>
    <x v="395"/>
    <x v="236"/>
    <d v="2023-11-06T00:00:00"/>
    <x v="5"/>
    <x v="3"/>
    <x v="1"/>
    <n v="230"/>
    <n v="166"/>
    <n v="17.53"/>
    <n v="11.72"/>
    <n v="7"/>
    <n v="0"/>
    <n v="7"/>
    <x v="0"/>
  </r>
  <r>
    <x v="396"/>
    <x v="127"/>
    <d v="2023-01-30T00:00:00"/>
    <x v="1"/>
    <x v="4"/>
    <x v="1"/>
    <n v="284"/>
    <n v="284"/>
    <n v="6.96"/>
    <n v="4.6100000000000003"/>
    <n v="3"/>
    <n v="1192.94"/>
    <n v="1"/>
    <x v="0"/>
  </r>
  <r>
    <x v="397"/>
    <x v="59"/>
    <d v="2023-08-20T00:00:00"/>
    <x v="2"/>
    <x v="0"/>
    <x v="1"/>
    <n v="266"/>
    <n v="266"/>
    <s v="$15.58"/>
    <n v="10.44"/>
    <n v="3"/>
    <n v="3823.34"/>
    <n v="2"/>
    <x v="0"/>
  </r>
  <r>
    <x v="398"/>
    <x v="27"/>
    <d v="2023-05-18T00:00:00"/>
    <x v="7"/>
    <x v="4"/>
    <x v="4"/>
    <n v="252"/>
    <n v="252"/>
    <n v="5.05"/>
    <n v="3.16"/>
    <n v="2"/>
    <n v="779.86"/>
    <n v="2"/>
    <x v="0"/>
  </r>
  <r>
    <x v="399"/>
    <x v="1"/>
    <d v="2023-09-17T00:00:00"/>
    <x v="1"/>
    <x v="1"/>
    <x v="4"/>
    <n v="330"/>
    <n v="330"/>
    <s v="$8.68"/>
    <n v="5.84"/>
    <n v="3"/>
    <n v="1779.62"/>
    <n v="1"/>
    <x v="0"/>
  </r>
  <r>
    <x v="400"/>
    <x v="42"/>
    <d v="2023-12-05T00:00:00"/>
    <x v="0"/>
    <x v="0"/>
    <x v="2"/>
    <n v="367"/>
    <n v="367"/>
    <n v="13.36"/>
    <n v="8.34"/>
    <n v="4"/>
    <n v="2834.48"/>
    <n v="1"/>
    <x v="0"/>
  </r>
  <r>
    <x v="401"/>
    <x v="191"/>
    <d v="2023-07-16T00:00:00"/>
    <x v="6"/>
    <x v="1"/>
    <x v="2"/>
    <n v="237"/>
    <n v="237"/>
    <n v="8.69"/>
    <n v="5.18"/>
    <n v="4"/>
    <n v="1737.67"/>
    <n v="1"/>
    <x v="0"/>
  </r>
  <r>
    <x v="402"/>
    <x v="66"/>
    <d v="2023-07-30T00:00:00"/>
    <x v="2"/>
    <x v="4"/>
    <x v="4"/>
    <n v="383"/>
    <n v="383"/>
    <s v="$4.83"/>
    <n v="3.16"/>
    <n v="3"/>
    <n v="1466.69"/>
    <n v="1"/>
    <x v="0"/>
  </r>
  <r>
    <x v="403"/>
    <x v="66"/>
    <d v="2023-07-31T00:00:00"/>
    <x v="6"/>
    <x v="1"/>
    <x v="0"/>
    <n v="238"/>
    <n v="238"/>
    <n v="7.62"/>
    <n v="5.49"/>
    <n v="4"/>
    <n v="1508.02"/>
    <n v="2"/>
    <x v="0"/>
  </r>
  <r>
    <x v="404"/>
    <x v="237"/>
    <d v="2023-12-17T00:00:00"/>
    <x v="4"/>
    <x v="4"/>
    <x v="0"/>
    <n v="231"/>
    <n v="231"/>
    <n v="6.81"/>
    <n v="3.99"/>
    <n v="6"/>
    <n v="1138.71"/>
    <n v="2"/>
    <x v="0"/>
  </r>
  <r>
    <x v="405"/>
    <x v="238"/>
    <d v="2023-10-29T00:00:00"/>
    <x v="5"/>
    <x v="2"/>
    <x v="0"/>
    <n v="223"/>
    <n v="223"/>
    <n v="19.690000000000001"/>
    <n v="13.43"/>
    <n v="7"/>
    <n v="4039.17"/>
    <n v="6"/>
    <x v="0"/>
  </r>
  <r>
    <x v="406"/>
    <x v="229"/>
    <d v="2023-04-27T00:00:00"/>
    <x v="5"/>
    <x v="1"/>
    <x v="3"/>
    <n v="193"/>
    <n v="193"/>
    <n v="9.35"/>
    <n v="6.42"/>
    <n v="7"/>
    <n v="1153.8499999999999"/>
    <n v="7"/>
    <x v="0"/>
  </r>
  <r>
    <x v="407"/>
    <x v="239"/>
    <d v="2023-03-20T00:00:00"/>
    <x v="6"/>
    <x v="0"/>
    <x v="3"/>
    <n v="65"/>
    <n v="65"/>
    <n v="11.2"/>
    <n v="6.34"/>
    <n v="4"/>
    <n v="380.23"/>
    <n v="4"/>
    <x v="0"/>
  </r>
  <r>
    <x v="408"/>
    <x v="212"/>
    <d v="2023-12-03T00:00:00"/>
    <x v="6"/>
    <x v="3"/>
    <x v="4"/>
    <n v="109"/>
    <n v="109"/>
    <n v="21.27"/>
    <n v="12.56"/>
    <n v="4"/>
    <n v="1771.72"/>
    <n v="1"/>
    <x v="0"/>
  </r>
  <r>
    <x v="409"/>
    <x v="68"/>
    <d v="2023-11-06T00:00:00"/>
    <x v="2"/>
    <x v="1"/>
    <x v="3"/>
    <n v="138"/>
    <n v="138"/>
    <n v="9.64"/>
    <n v="6"/>
    <n v="3"/>
    <n v="1070.6099999999999"/>
    <n v="3"/>
    <x v="0"/>
  </r>
  <r>
    <x v="410"/>
    <x v="121"/>
    <d v="2023-07-26T00:00:00"/>
    <x v="7"/>
    <x v="0"/>
    <x v="0"/>
    <n v="227"/>
    <n v="227"/>
    <n v="13.33"/>
    <n v="9.3000000000000007"/>
    <n v="2"/>
    <n v="1986.9"/>
    <n v="2"/>
    <x v="0"/>
  </r>
  <r>
    <x v="411"/>
    <x v="240"/>
    <d v="2023-10-21T00:00:00"/>
    <x v="0"/>
    <x v="4"/>
    <x v="0"/>
    <n v="197"/>
    <n v="197"/>
    <n v="5.8"/>
    <n v="3.89"/>
    <n v="4"/>
    <n v="779.14"/>
    <n v="7"/>
    <x v="1"/>
  </r>
  <r>
    <x v="412"/>
    <x v="51"/>
    <d v="2023-05-15T00:00:00"/>
    <x v="6"/>
    <x v="4"/>
    <x v="3"/>
    <n v="306"/>
    <n v="306"/>
    <n v="5.86"/>
    <n v="4.33"/>
    <n v="4"/>
    <n v="1830.81"/>
    <n v="1"/>
    <x v="0"/>
  </r>
  <r>
    <x v="413"/>
    <x v="241"/>
    <d v="2023-05-11T00:00:00"/>
    <x v="2"/>
    <x v="4"/>
    <x v="4"/>
    <n v="308"/>
    <n v="308"/>
    <n v="5.68"/>
    <n v="3.51"/>
    <n v="3"/>
    <n v="1476.06"/>
    <n v="2"/>
    <x v="0"/>
  </r>
  <r>
    <x v="414"/>
    <x v="242"/>
    <d v="2023-09-05T00:00:00"/>
    <x v="5"/>
    <x v="4"/>
    <x v="3"/>
    <n v="215"/>
    <n v="215"/>
    <n v="8.3800000000000008"/>
    <n v="5.74"/>
    <n v="7"/>
    <n v="1280.94"/>
    <n v="1"/>
    <x v="0"/>
  </r>
  <r>
    <x v="415"/>
    <x v="243"/>
    <d v="2023-09-28T00:00:00"/>
    <x v="4"/>
    <x v="3"/>
    <x v="0"/>
    <n v="154"/>
    <n v="154"/>
    <n v="17.12"/>
    <n v="11.72"/>
    <n v="6"/>
    <n v="2513.56"/>
    <n v="6"/>
    <x v="0"/>
  </r>
  <r>
    <x v="416"/>
    <x v="202"/>
    <d v="2023-09-03T00:00:00"/>
    <x v="0"/>
    <x v="4"/>
    <x v="1"/>
    <n v="313"/>
    <n v="313"/>
    <n v="8.2100000000000009"/>
    <n v="5.64"/>
    <n v="4"/>
    <n v="2552.58"/>
    <n v="2"/>
    <x v="0"/>
  </r>
  <r>
    <x v="417"/>
    <x v="180"/>
    <d v="2023-05-06T00:00:00"/>
    <x v="5"/>
    <x v="1"/>
    <x v="1"/>
    <n v="137"/>
    <n v="137"/>
    <n v="7.6"/>
    <n v="5.12"/>
    <n v="7"/>
    <n v="696.95"/>
    <n v="2"/>
    <x v="0"/>
  </r>
  <r>
    <x v="418"/>
    <x v="54"/>
    <d v="2023-12-21T00:00:00"/>
    <x v="0"/>
    <x v="0"/>
    <x v="3"/>
    <n v="334"/>
    <n v="302"/>
    <n v="16.5"/>
    <n v="11.87"/>
    <n v="4"/>
    <n v="4451.1099999999997"/>
    <n v="8"/>
    <x v="1"/>
  </r>
  <r>
    <x v="419"/>
    <x v="244"/>
    <d v="2023-05-26T00:00:00"/>
    <x v="4"/>
    <x v="3"/>
    <x v="4"/>
    <n v="163"/>
    <n v="163"/>
    <n v="25"/>
    <n v="14.39"/>
    <n v="6"/>
    <n v="2850.9"/>
    <n v="5"/>
    <x v="0"/>
  </r>
  <r>
    <x v="420"/>
    <x v="135"/>
    <d v="2023-01-21T00:00:00"/>
    <x v="6"/>
    <x v="3"/>
    <x v="4"/>
    <n v="371"/>
    <n v="371"/>
    <n v="21.49"/>
    <n v="12.34"/>
    <n v="4"/>
    <n v="5543.78"/>
    <n v="4"/>
    <x v="0"/>
  </r>
  <r>
    <x v="421"/>
    <x v="85"/>
    <d v="2023-12-17T00:00:00"/>
    <x v="4"/>
    <x v="0"/>
    <x v="3"/>
    <n v="71"/>
    <n v="71"/>
    <n v="14.01"/>
    <n v="8.43"/>
    <n v="6"/>
    <n v="735.68"/>
    <n v="5"/>
    <x v="0"/>
  </r>
  <r>
    <x v="422"/>
    <x v="223"/>
    <d v="2023-11-12T00:00:00"/>
    <x v="3"/>
    <x v="2"/>
    <x v="2"/>
    <n v="275"/>
    <n v="275"/>
    <n v="15.77"/>
    <n v="11.05"/>
    <n v="5"/>
    <n v="3400.5"/>
    <n v="2"/>
    <x v="0"/>
  </r>
  <r>
    <x v="423"/>
    <x v="245"/>
    <d v="2023-04-05T00:00:00"/>
    <x v="6"/>
    <x v="2"/>
    <x v="2"/>
    <n v="71"/>
    <n v="71"/>
    <n v="19.239999999999998"/>
    <n v="12.72"/>
    <n v="4"/>
    <n v="1276.82"/>
    <n v="2"/>
    <x v="0"/>
  </r>
  <r>
    <x v="424"/>
    <x v="246"/>
    <d v="2023-09-02T00:00:00"/>
    <x v="3"/>
    <x v="1"/>
    <x v="1"/>
    <n v="235"/>
    <n v="235"/>
    <s v="$11.18"/>
    <n v="8.0500000000000007"/>
    <n v="5"/>
    <n v="2289.4"/>
    <n v="2"/>
    <x v="0"/>
  </r>
  <r>
    <x v="425"/>
    <x v="241"/>
    <d v="2023-05-14T00:00:00"/>
    <x v="4"/>
    <x v="3"/>
    <x v="0"/>
    <n v="44"/>
    <n v="44"/>
    <n v="24.29"/>
    <n v="13.65"/>
    <n v="6"/>
    <n v="833.81"/>
    <n v="5"/>
    <x v="0"/>
  </r>
  <r>
    <x v="426"/>
    <x v="247"/>
    <d v="2023-06-24T00:00:00"/>
    <x v="5"/>
    <x v="0"/>
    <x v="2"/>
    <n v="306"/>
    <n v="306"/>
    <n v="15.43"/>
    <n v="9.5500000000000007"/>
    <n v="7"/>
    <n v="3352.04"/>
    <n v="3"/>
    <x v="0"/>
  </r>
  <r>
    <x v="427"/>
    <x v="238"/>
    <d v="2023-10-29T00:00:00"/>
    <x v="4"/>
    <x v="4"/>
    <x v="1"/>
    <n v="295"/>
    <n v="295"/>
    <n v="7.61"/>
    <n v="4.7300000000000004"/>
    <n v="6"/>
    <n v="1819.42"/>
    <n v="6"/>
    <x v="0"/>
  </r>
  <r>
    <x v="428"/>
    <x v="191"/>
    <d v="2023-07-19T00:00:00"/>
    <x v="5"/>
    <x v="3"/>
    <x v="3"/>
    <n v="343"/>
    <n v="343"/>
    <n v="26.42"/>
    <n v="17.920000000000002"/>
    <n v="7"/>
    <n v="8956.4"/>
    <n v="4"/>
    <x v="0"/>
  </r>
  <r>
    <x v="429"/>
    <x v="103"/>
    <d v="2023-07-28T00:00:00"/>
    <x v="6"/>
    <x v="4"/>
    <x v="4"/>
    <n v="60"/>
    <n v="60"/>
    <n v="5.62"/>
    <n v="3.45"/>
    <n v="4"/>
    <n v="222.49"/>
    <n v="1"/>
    <x v="0"/>
  </r>
  <r>
    <x v="430"/>
    <x v="248"/>
    <d v="2023-05-21T00:00:00"/>
    <x v="2"/>
    <x v="4"/>
    <x v="2"/>
    <n v="320"/>
    <n v="320"/>
    <n v="6.42"/>
    <n v="3.75"/>
    <n v="3"/>
    <n v="1695.03"/>
    <n v="2"/>
    <x v="0"/>
  </r>
  <r>
    <x v="431"/>
    <x v="249"/>
    <d v="2023-09-30T00:00:00"/>
    <x v="1"/>
    <x v="0"/>
    <x v="2"/>
    <n v="73"/>
    <n v="73"/>
    <n v="10.72"/>
    <n v="7.3"/>
    <n v="3"/>
    <n v="762.73"/>
    <n v="4"/>
    <x v="1"/>
  </r>
  <r>
    <x v="432"/>
    <x v="250"/>
    <d v="2023-05-27T00:00:00"/>
    <x v="2"/>
    <x v="1"/>
    <x v="1"/>
    <n v="87"/>
    <n v="87"/>
    <n v="7.22"/>
    <n v="4.0199999999999996"/>
    <n v="3"/>
    <n v="389.65"/>
    <n v="1"/>
    <x v="0"/>
  </r>
  <r>
    <x v="433"/>
    <x v="17"/>
    <d v="2023-10-09T00:00:00"/>
    <x v="4"/>
    <x v="3"/>
    <x v="2"/>
    <n v="247"/>
    <n v="247"/>
    <n v="27.38"/>
    <n v="18.010000000000002"/>
    <n v="6"/>
    <n v="5580.6"/>
    <n v="5"/>
    <x v="0"/>
  </r>
  <r>
    <x v="434"/>
    <x v="249"/>
    <d v="2023-10-01T00:00:00"/>
    <x v="5"/>
    <x v="4"/>
    <x v="2"/>
    <n v="178"/>
    <n v="178"/>
    <n v="6.53"/>
    <n v="3.89"/>
    <n v="7"/>
    <n v="660.38"/>
    <n v="5"/>
    <x v="0"/>
  </r>
  <r>
    <x v="435"/>
    <x v="165"/>
    <d v="2023-06-05T00:00:00"/>
    <x v="1"/>
    <x v="3"/>
    <x v="2"/>
    <n v="169"/>
    <n v="169"/>
    <n v="25.56"/>
    <n v="16.86"/>
    <n v="3"/>
    <n v="2886.79"/>
    <n v="2"/>
    <x v="0"/>
  </r>
  <r>
    <x v="436"/>
    <x v="155"/>
    <d v="2023-03-29T00:00:00"/>
    <x v="6"/>
    <x v="3"/>
    <x v="1"/>
    <n v="213"/>
    <n v="213"/>
    <n v="16.95"/>
    <n v="11.44"/>
    <n v="4"/>
    <n v="2948.35"/>
    <n v="4"/>
    <x v="0"/>
  </r>
  <r>
    <x v="437"/>
    <x v="7"/>
    <d v="2023-05-19T00:00:00"/>
    <x v="2"/>
    <x v="2"/>
    <x v="4"/>
    <n v="113"/>
    <n v="113"/>
    <n v="12.99"/>
    <n v="8.33"/>
    <n v="3"/>
    <n v="1102.8699999999999"/>
    <n v="1"/>
    <x v="0"/>
  </r>
  <r>
    <x v="438"/>
    <x v="251"/>
    <d v="2023-01-15T00:00:00"/>
    <x v="5"/>
    <x v="1"/>
    <x v="0"/>
    <n v="31"/>
    <n v="31"/>
    <n v="6.89"/>
    <n v="4.16"/>
    <n v="7"/>
    <n v="171.4"/>
    <n v="5"/>
    <x v="0"/>
  </r>
  <r>
    <x v="439"/>
    <x v="214"/>
    <d v="2023-03-20T00:00:00"/>
    <x v="1"/>
    <x v="1"/>
    <x v="3"/>
    <n v="195"/>
    <n v="195"/>
    <n v="10.17"/>
    <n v="6.61"/>
    <n v="3"/>
    <n v="1447.28"/>
    <n v="1"/>
    <x v="0"/>
  </r>
  <r>
    <x v="440"/>
    <x v="239"/>
    <d v="2023-03-18T00:00:00"/>
    <x v="1"/>
    <x v="2"/>
    <x v="3"/>
    <n v="56"/>
    <n v="56"/>
    <n v="13.63"/>
    <n v="9.94"/>
    <n v="3"/>
    <n v="584.5"/>
    <n v="2"/>
    <x v="0"/>
  </r>
  <r>
    <x v="441"/>
    <x v="179"/>
    <d v="2023-05-12T00:00:00"/>
    <x v="6"/>
    <x v="0"/>
    <x v="3"/>
    <n v="146"/>
    <n v="146"/>
    <n v="9.84"/>
    <n v="6.32"/>
    <n v="4"/>
    <n v="1257.3"/>
    <n v="4"/>
    <x v="0"/>
  </r>
  <r>
    <x v="442"/>
    <x v="237"/>
    <d v="2023-12-23T00:00:00"/>
    <x v="3"/>
    <x v="3"/>
    <x v="2"/>
    <n v="101"/>
    <n v="101"/>
    <n v="16.510000000000002"/>
    <n v="12.18"/>
    <n v="5"/>
    <n v="1491.66"/>
    <n v="8"/>
    <x v="1"/>
  </r>
  <r>
    <x v="443"/>
    <x v="104"/>
    <d v="2023-04-13T00:00:00"/>
    <x v="2"/>
    <x v="3"/>
    <x v="0"/>
    <n v="361"/>
    <n v="361"/>
    <n v="17.36"/>
    <n v="11.75"/>
    <n v="3"/>
    <n v="4643.4799999999996"/>
    <n v="1"/>
    <x v="0"/>
  </r>
  <r>
    <x v="444"/>
    <x v="61"/>
    <d v="2023-03-04T00:00:00"/>
    <x v="7"/>
    <x v="2"/>
    <x v="4"/>
    <n v="24"/>
    <n v="24"/>
    <n v="17.23"/>
    <n v="11.86"/>
    <n v="2"/>
    <n v="373.74"/>
    <n v="1"/>
    <x v="0"/>
  </r>
  <r>
    <x v="445"/>
    <x v="179"/>
    <d v="2023-05-07T00:00:00"/>
    <x v="7"/>
    <x v="2"/>
    <x v="3"/>
    <n v="371"/>
    <n v="371"/>
    <n v="20.38"/>
    <n v="15.27"/>
    <n v="2"/>
    <n v="7223.54"/>
    <s v="Data Error"/>
    <x v="2"/>
  </r>
  <r>
    <x v="446"/>
    <x v="171"/>
    <d v="2023-12-27T00:00:00"/>
    <x v="1"/>
    <x v="2"/>
    <x v="1"/>
    <n v="84"/>
    <n v="109"/>
    <n v="14.85"/>
    <n v="9.83"/>
    <n v="3"/>
    <n v="1062.53"/>
    <n v="1"/>
    <x v="0"/>
  </r>
  <r>
    <x v="447"/>
    <x v="52"/>
    <d v="2023-01-14T00:00:00"/>
    <x v="4"/>
    <x v="3"/>
    <x v="1"/>
    <n v="390"/>
    <n v="390"/>
    <n v="26.78"/>
    <n v="17.329999999999998"/>
    <n v="6"/>
    <n v="7856.99"/>
    <n v="3"/>
    <x v="0"/>
  </r>
  <r>
    <x v="448"/>
    <x v="19"/>
    <d v="2023-04-11T00:00:00"/>
    <x v="2"/>
    <x v="4"/>
    <x v="2"/>
    <n v="198"/>
    <n v="198"/>
    <n v="6.49"/>
    <n v="4.7"/>
    <n v="3"/>
    <n v="1171.82"/>
    <n v="3"/>
    <x v="0"/>
  </r>
  <r>
    <x v="449"/>
    <x v="252"/>
    <d v="2023-03-23T00:00:00"/>
    <x v="7"/>
    <x v="0"/>
    <x v="4"/>
    <n v="297"/>
    <n v="297"/>
    <n v="9.61"/>
    <n v="6.51"/>
    <n v="2"/>
    <n v="2179.84"/>
    <n v="2"/>
    <x v="0"/>
  </r>
  <r>
    <x v="450"/>
    <x v="111"/>
    <d v="2023-07-07T00:00:00"/>
    <x v="7"/>
    <x v="0"/>
    <x v="4"/>
    <n v="184"/>
    <n v="184"/>
    <n v="14.34"/>
    <n v="9.43"/>
    <n v="2"/>
    <n v="1965.01"/>
    <n v="1"/>
    <x v="0"/>
  </r>
  <r>
    <x v="451"/>
    <x v="223"/>
    <d v="2023-11-14T00:00:00"/>
    <x v="5"/>
    <x v="4"/>
    <x v="1"/>
    <n v="348"/>
    <n v="348"/>
    <n v="5.15"/>
    <n v="3.51"/>
    <n v="7"/>
    <n v="1131.42"/>
    <n v="4"/>
    <x v="0"/>
  </r>
  <r>
    <x v="452"/>
    <x v="253"/>
    <d v="2023-04-15T00:00:00"/>
    <x v="7"/>
    <x v="1"/>
    <x v="3"/>
    <n v="70"/>
    <n v="69"/>
    <n v="10.41"/>
    <n v="7.1"/>
    <n v="2"/>
    <n v="604.1"/>
    <n v="1"/>
    <x v="0"/>
  </r>
  <r>
    <x v="453"/>
    <x v="210"/>
    <d v="2023-04-25T00:00:00"/>
    <x v="2"/>
    <x v="0"/>
    <x v="0"/>
    <n v="26"/>
    <n v="26"/>
    <n v="11.1"/>
    <n v="7.2"/>
    <n v="3"/>
    <n v="268.42"/>
    <n v="1"/>
    <x v="0"/>
  </r>
  <r>
    <x v="454"/>
    <x v="151"/>
    <d v="2023-07-08T00:00:00"/>
    <x v="0"/>
    <x v="3"/>
    <x v="3"/>
    <n v="208"/>
    <n v="208"/>
    <n v="16.7"/>
    <n v="11.25"/>
    <n v="4"/>
    <n v="2848.75"/>
    <n v="4"/>
    <x v="0"/>
  </r>
  <r>
    <x v="455"/>
    <x v="117"/>
    <d v="2023-04-26T00:00:00"/>
    <x v="0"/>
    <x v="2"/>
    <x v="3"/>
    <n v="71"/>
    <n v="71"/>
    <n v="16.78"/>
    <n v="9.86"/>
    <n v="4"/>
    <n v="851.07"/>
    <n v="5"/>
    <x v="1"/>
  </r>
  <r>
    <x v="456"/>
    <x v="64"/>
    <d v="2023-10-17T00:00:00"/>
    <x v="3"/>
    <x v="4"/>
    <x v="1"/>
    <n v="74"/>
    <n v="74"/>
    <n v="6.88"/>
    <n v="4.71"/>
    <n v="5"/>
    <n v="460.61"/>
    <n v="4"/>
    <x v="0"/>
  </r>
  <r>
    <x v="457"/>
    <x v="245"/>
    <d v="2023-04-06T00:00:00"/>
    <x v="6"/>
    <x v="0"/>
    <x v="1"/>
    <n v="356"/>
    <n v="356"/>
    <n v="16.79"/>
    <n v="10.72"/>
    <n v="4"/>
    <n v="4241.4399999999996"/>
    <n v="3"/>
    <x v="0"/>
  </r>
  <r>
    <x v="458"/>
    <x v="254"/>
    <d v="2023-07-16T00:00:00"/>
    <x v="4"/>
    <x v="4"/>
    <x v="0"/>
    <n v="240"/>
    <n v="240"/>
    <n v="5.96"/>
    <n v="3.56"/>
    <n v="6"/>
    <n v="1048.67"/>
    <n v="6"/>
    <x v="0"/>
  </r>
  <r>
    <x v="459"/>
    <x v="151"/>
    <d v="2023-07-12T00:00:00"/>
    <x v="6"/>
    <x v="4"/>
    <x v="0"/>
    <n v="223"/>
    <n v="160"/>
    <n v="8.34"/>
    <n v="5.58"/>
    <n v="4"/>
    <n v="1506.36"/>
    <n v="8"/>
    <x v="1"/>
  </r>
  <r>
    <x v="460"/>
    <x v="210"/>
    <d v="2023-04-26T00:00:00"/>
    <x v="2"/>
    <x v="0"/>
    <x v="0"/>
    <n v="31"/>
    <n v="31"/>
    <n v="16.39"/>
    <n v="11.71"/>
    <n v="3"/>
    <n v="526.9"/>
    <n v="2"/>
    <x v="0"/>
  </r>
  <r>
    <x v="461"/>
    <x v="152"/>
    <d v="2023-08-25T00:00:00"/>
    <x v="7"/>
    <x v="0"/>
    <x v="3"/>
    <n v="155"/>
    <n v="155"/>
    <n v="13.79"/>
    <n v="8.23"/>
    <n v="2"/>
    <n v="1768.87"/>
    <n v="1"/>
    <x v="0"/>
  </r>
  <r>
    <x v="462"/>
    <x v="57"/>
    <d v="2023-10-29T00:00:00"/>
    <x v="0"/>
    <x v="4"/>
    <x v="2"/>
    <n v="59"/>
    <n v="59"/>
    <n v="7.65"/>
    <n v="4.47"/>
    <n v="4"/>
    <n v="368.01"/>
    <n v="10"/>
    <x v="1"/>
  </r>
  <r>
    <x v="463"/>
    <x v="116"/>
    <d v="2023-01-24T00:00:00"/>
    <x v="0"/>
    <x v="4"/>
    <x v="0"/>
    <n v="60"/>
    <n v="60"/>
    <n v="8.1199999999999992"/>
    <n v="5.01"/>
    <n v="4"/>
    <n v="429.22"/>
    <n v="4"/>
    <x v="0"/>
  </r>
  <r>
    <x v="464"/>
    <x v="94"/>
    <d v="2023-04-28T00:00:00"/>
    <x v="6"/>
    <x v="3"/>
    <x v="3"/>
    <n v="344"/>
    <n v="344"/>
    <n v="20.59"/>
    <n v="12.58"/>
    <n v="4"/>
    <n v="4001.7"/>
    <n v="1"/>
    <x v="0"/>
  </r>
  <r>
    <x v="465"/>
    <x v="255"/>
    <d v="2023-12-25T00:00:00"/>
    <x v="7"/>
    <x v="2"/>
    <x v="4"/>
    <n v="364"/>
    <n v="364"/>
    <n v="15.54"/>
    <n v="9.93"/>
    <n v="2"/>
    <n v="4543.74"/>
    <n v="1"/>
    <x v="0"/>
  </r>
  <r>
    <x v="466"/>
    <x v="233"/>
    <d v="2023-05-31T00:00:00"/>
    <x v="0"/>
    <x v="1"/>
    <x v="2"/>
    <n v="87"/>
    <n v="87"/>
    <n v="8.68"/>
    <n v="6.07"/>
    <n v="4"/>
    <n v="648.97"/>
    <n v="2"/>
    <x v="0"/>
  </r>
  <r>
    <x v="467"/>
    <x v="234"/>
    <d v="2023-09-17T00:00:00"/>
    <x v="2"/>
    <x v="0"/>
    <x v="2"/>
    <n v="86"/>
    <n v="86"/>
    <n v="13.06"/>
    <n v="7.7"/>
    <n v="3"/>
    <n v="753.05"/>
    <n v="3"/>
    <x v="0"/>
  </r>
  <r>
    <x v="468"/>
    <x v="249"/>
    <d v="2023-09-22T00:00:00"/>
    <x v="3"/>
    <x v="4"/>
    <x v="4"/>
    <n v="156"/>
    <n v="156"/>
    <n v="5.96"/>
    <n v="4.38"/>
    <n v="5"/>
    <n v="651.67999999999995"/>
    <s v="Data Error"/>
    <x v="2"/>
  </r>
  <r>
    <x v="469"/>
    <x v="164"/>
    <d v="2023-07-01T00:00:00"/>
    <x v="6"/>
    <x v="3"/>
    <x v="0"/>
    <n v="324"/>
    <n v="324"/>
    <n v="25.24"/>
    <n v="14.74"/>
    <n v="4"/>
    <n v="5300.28"/>
    <n v="3"/>
    <x v="0"/>
  </r>
  <r>
    <x v="470"/>
    <x v="256"/>
    <d v="2023-08-21T00:00:00"/>
    <x v="5"/>
    <x v="4"/>
    <x v="1"/>
    <n v="139"/>
    <n v="139"/>
    <n v="6.15"/>
    <n v="4.3099999999999996"/>
    <n v="7"/>
    <n v="845.71"/>
    <n v="7"/>
    <x v="0"/>
  </r>
  <r>
    <x v="471"/>
    <x v="65"/>
    <d v="2023-11-21T00:00:00"/>
    <x v="0"/>
    <x v="0"/>
    <x v="1"/>
    <n v="27"/>
    <n v="27"/>
    <n v="15.39"/>
    <n v="9.4"/>
    <n v="4"/>
    <n v="300.17"/>
    <n v="7"/>
    <x v="1"/>
  </r>
  <r>
    <x v="472"/>
    <x v="257"/>
    <d v="2023-04-24T00:00:00"/>
    <x v="4"/>
    <x v="1"/>
    <x v="4"/>
    <n v="152"/>
    <n v="152"/>
    <n v="9.39"/>
    <n v="7.03"/>
    <n v="6"/>
    <n v="1407.34"/>
    <n v="5"/>
    <x v="0"/>
  </r>
  <r>
    <x v="473"/>
    <x v="220"/>
    <d v="2023-12-08T00:00:00"/>
    <x v="1"/>
    <x v="3"/>
    <x v="4"/>
    <n v="107"/>
    <n v="107"/>
    <n v="18.41"/>
    <n v="12.69"/>
    <n v="3"/>
    <n v="1443.06"/>
    <n v="2"/>
    <x v="0"/>
  </r>
  <r>
    <x v="474"/>
    <x v="194"/>
    <d v="2023-07-24T00:00:00"/>
    <x v="5"/>
    <x v="0"/>
    <x v="3"/>
    <n v="357"/>
    <n v="357"/>
    <n v="10.38"/>
    <n v="6.32"/>
    <n v="7"/>
    <n v="0"/>
    <n v="6"/>
    <x v="0"/>
  </r>
  <r>
    <x v="475"/>
    <x v="73"/>
    <d v="2023-09-23T00:00:00"/>
    <x v="6"/>
    <x v="1"/>
    <x v="2"/>
    <n v="181"/>
    <n v="181"/>
    <n v="9.27"/>
    <n v="5.26"/>
    <n v="4"/>
    <n v="970.46"/>
    <n v="5"/>
    <x v="1"/>
  </r>
  <r>
    <x v="476"/>
    <x v="69"/>
    <d v="2023-01-26T00:00:00"/>
    <x v="5"/>
    <x v="4"/>
    <x v="3"/>
    <n v="176"/>
    <n v="176"/>
    <n v="6.22"/>
    <n v="3.62"/>
    <n v="7"/>
    <n v="705.97"/>
    <n v="5"/>
    <x v="0"/>
  </r>
  <r>
    <x v="477"/>
    <x v="46"/>
    <d v="2023-05-12T00:00:00"/>
    <x v="4"/>
    <x v="2"/>
    <x v="0"/>
    <n v="161"/>
    <n v="161"/>
    <n v="17.63"/>
    <n v="12.79"/>
    <n v="6"/>
    <n v="2953.38"/>
    <n v="11"/>
    <x v="1"/>
  </r>
  <r>
    <x v="478"/>
    <x v="258"/>
    <d v="2023-04-28T00:00:00"/>
    <x v="1"/>
    <x v="4"/>
    <x v="0"/>
    <n v="356"/>
    <n v="356"/>
    <n v="7.43"/>
    <n v="4.8600000000000003"/>
    <n v="3"/>
    <n v="2260.9699999999998"/>
    <n v="2"/>
    <x v="0"/>
  </r>
  <r>
    <x v="479"/>
    <x v="98"/>
    <d v="2023-10-24T00:00:00"/>
    <x v="3"/>
    <x v="3"/>
    <x v="1"/>
    <n v="329"/>
    <n v="329"/>
    <n v="22.51"/>
    <n v="13.31"/>
    <n v="5"/>
    <n v="4305.1899999999996"/>
    <n v="3"/>
    <x v="0"/>
  </r>
  <r>
    <x v="480"/>
    <x v="41"/>
    <d v="2023-12-24T00:00:00"/>
    <x v="3"/>
    <x v="1"/>
    <x v="0"/>
    <n v="89"/>
    <n v="89"/>
    <n v="10.76"/>
    <n v="7.58"/>
    <n v="5"/>
    <n v="872.78"/>
    <n v="5"/>
    <x v="0"/>
  </r>
  <r>
    <x v="481"/>
    <x v="64"/>
    <d v="2023-10-14T00:00:00"/>
    <x v="7"/>
    <x v="2"/>
    <x v="3"/>
    <n v="114"/>
    <n v="114"/>
    <n v="19.920000000000002"/>
    <n v="13.85"/>
    <n v="2"/>
    <n v="2146.14"/>
    <n v="1"/>
    <x v="0"/>
  </r>
  <r>
    <x v="482"/>
    <x v="29"/>
    <d v="2023-08-18T00:00:00"/>
    <x v="6"/>
    <x v="3"/>
    <x v="0"/>
    <n v="97"/>
    <n v="97"/>
    <n v="17.28"/>
    <n v="10.14"/>
    <n v="4"/>
    <n v="1335.18"/>
    <n v="3"/>
    <x v="0"/>
  </r>
  <r>
    <x v="483"/>
    <x v="223"/>
    <d v="2023-11-11T00:00:00"/>
    <x v="2"/>
    <x v="4"/>
    <x v="4"/>
    <n v="138"/>
    <n v="138"/>
    <n v="6.09"/>
    <n v="4.1900000000000004"/>
    <n v="3"/>
    <n v="685.75"/>
    <n v="1"/>
    <x v="0"/>
  </r>
  <r>
    <x v="484"/>
    <x v="194"/>
    <d v="2023-07-20T00:00:00"/>
    <x v="5"/>
    <x v="2"/>
    <x v="1"/>
    <n v="103"/>
    <n v="103"/>
    <n v="12.29"/>
    <n v="8.64"/>
    <n v="7"/>
    <n v="808.94"/>
    <n v="2"/>
    <x v="0"/>
  </r>
  <r>
    <x v="485"/>
    <x v="15"/>
    <d v="2023-12-15T00:00:00"/>
    <x v="2"/>
    <x v="3"/>
    <x v="1"/>
    <n v="53"/>
    <n v="53"/>
    <n v="27.46"/>
    <n v="17.52"/>
    <n v="3"/>
    <n v="1179.49"/>
    <n v="5"/>
    <x v="1"/>
  </r>
  <r>
    <x v="486"/>
    <x v="259"/>
    <d v="2023-08-08T00:00:00"/>
    <x v="4"/>
    <x v="3"/>
    <x v="1"/>
    <n v="331"/>
    <n v="331"/>
    <n v="20.56"/>
    <n v="12.59"/>
    <n v="6"/>
    <n v="5279.55"/>
    <n v="1"/>
    <x v="0"/>
  </r>
  <r>
    <x v="487"/>
    <x v="190"/>
    <d v="2023-08-21T00:00:00"/>
    <x v="1"/>
    <x v="4"/>
    <x v="3"/>
    <n v="145"/>
    <n v="145"/>
    <n v="6.22"/>
    <n v="4.34"/>
    <n v="3"/>
    <n v="0"/>
    <n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D8C2ADB-B0E0-4DCD-88B8-A238C016173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K3:M9" firstHeaderRow="0" firstDataRow="1" firstDataCol="1"/>
  <pivotFields count="14">
    <pivotField showAll="0">
      <items count="4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t="default"/>
      </items>
    </pivotField>
    <pivotField numFmtId="14" showAll="0">
      <items count="261">
        <item x="197"/>
        <item x="16"/>
        <item x="162"/>
        <item x="226"/>
        <item x="20"/>
        <item x="251"/>
        <item x="52"/>
        <item x="145"/>
        <item x="32"/>
        <item x="213"/>
        <item x="99"/>
        <item x="135"/>
        <item x="70"/>
        <item x="116"/>
        <item x="69"/>
        <item x="102"/>
        <item x="119"/>
        <item x="39"/>
        <item x="216"/>
        <item x="131"/>
        <item x="156"/>
        <item x="127"/>
        <item x="149"/>
        <item x="182"/>
        <item x="89"/>
        <item x="38"/>
        <item x="95"/>
        <item x="199"/>
        <item x="77"/>
        <item x="122"/>
        <item x="141"/>
        <item x="101"/>
        <item x="169"/>
        <item x="84"/>
        <item x="150"/>
        <item x="109"/>
        <item x="153"/>
        <item x="178"/>
        <item x="62"/>
        <item x="217"/>
        <item x="189"/>
        <item x="13"/>
        <item x="83"/>
        <item x="61"/>
        <item x="14"/>
        <item x="82"/>
        <item x="36"/>
        <item x="124"/>
        <item x="113"/>
        <item x="8"/>
        <item x="205"/>
        <item x="239"/>
        <item x="92"/>
        <item x="142"/>
        <item x="214"/>
        <item x="129"/>
        <item x="252"/>
        <item x="23"/>
        <item x="174"/>
        <item x="114"/>
        <item x="155"/>
        <item x="67"/>
        <item x="123"/>
        <item x="79"/>
        <item x="203"/>
        <item x="43"/>
        <item x="245"/>
        <item x="139"/>
        <item x="19"/>
        <item x="112"/>
        <item x="128"/>
        <item x="104"/>
        <item x="207"/>
        <item x="253"/>
        <item x="257"/>
        <item x="229"/>
        <item x="117"/>
        <item x="143"/>
        <item x="210"/>
        <item x="258"/>
        <item x="94"/>
        <item x="176"/>
        <item x="76"/>
        <item x="46"/>
        <item x="91"/>
        <item x="25"/>
        <item x="180"/>
        <item x="90"/>
        <item x="0"/>
        <item x="24"/>
        <item x="179"/>
        <item x="241"/>
        <item x="120"/>
        <item x="185"/>
        <item x="231"/>
        <item x="51"/>
        <item x="184"/>
        <item x="27"/>
        <item x="170"/>
        <item x="7"/>
        <item x="248"/>
        <item x="49"/>
        <item x="244"/>
        <item x="146"/>
        <item x="88"/>
        <item x="250"/>
        <item x="144"/>
        <item x="72"/>
        <item x="233"/>
        <item x="22"/>
        <item x="137"/>
        <item x="165"/>
        <item x="81"/>
        <item x="97"/>
        <item x="186"/>
        <item x="105"/>
        <item x="159"/>
        <item x="224"/>
        <item x="247"/>
        <item x="195"/>
        <item x="2"/>
        <item x="225"/>
        <item x="60"/>
        <item x="164"/>
        <item x="209"/>
        <item x="106"/>
        <item x="5"/>
        <item x="221"/>
        <item x="151"/>
        <item x="34"/>
        <item x="111"/>
        <item x="235"/>
        <item x="134"/>
        <item x="87"/>
        <item x="254"/>
        <item x="206"/>
        <item x="35"/>
        <item x="227"/>
        <item x="6"/>
        <item x="191"/>
        <item x="167"/>
        <item x="194"/>
        <item x="21"/>
        <item x="132"/>
        <item x="115"/>
        <item x="121"/>
        <item x="63"/>
        <item x="103"/>
        <item x="47"/>
        <item x="66"/>
        <item x="71"/>
        <item x="74"/>
        <item x="118"/>
        <item x="188"/>
        <item x="181"/>
        <item x="18"/>
        <item x="259"/>
        <item x="11"/>
        <item x="256"/>
        <item x="29"/>
        <item x="78"/>
        <item x="230"/>
        <item x="59"/>
        <item x="45"/>
        <item x="190"/>
        <item x="130"/>
        <item x="80"/>
        <item x="152"/>
        <item x="160"/>
        <item x="187"/>
        <item x="126"/>
        <item x="10"/>
        <item x="33"/>
        <item x="138"/>
        <item x="246"/>
        <item x="202"/>
        <item x="48"/>
        <item x="201"/>
        <item x="242"/>
        <item x="56"/>
        <item x="193"/>
        <item x="173"/>
        <item x="28"/>
        <item x="9"/>
        <item x="218"/>
        <item x="37"/>
        <item x="234"/>
        <item x="1"/>
        <item x="107"/>
        <item x="73"/>
        <item x="219"/>
        <item x="157"/>
        <item x="243"/>
        <item x="136"/>
        <item x="249"/>
        <item x="228"/>
        <item x="154"/>
        <item x="177"/>
        <item x="50"/>
        <item x="3"/>
        <item x="75"/>
        <item x="17"/>
        <item x="40"/>
        <item x="200"/>
        <item x="125"/>
        <item x="30"/>
        <item x="64"/>
        <item x="240"/>
        <item x="96"/>
        <item x="26"/>
        <item x="168"/>
        <item x="57"/>
        <item x="98"/>
        <item x="238"/>
        <item x="110"/>
        <item x="204"/>
        <item x="236"/>
        <item x="44"/>
        <item x="58"/>
        <item x="68"/>
        <item x="158"/>
        <item x="93"/>
        <item x="53"/>
        <item x="12"/>
        <item x="108"/>
        <item x="223"/>
        <item x="166"/>
        <item x="133"/>
        <item x="65"/>
        <item x="175"/>
        <item x="172"/>
        <item x="100"/>
        <item x="208"/>
        <item x="198"/>
        <item x="192"/>
        <item x="211"/>
        <item x="86"/>
        <item x="212"/>
        <item x="161"/>
        <item x="42"/>
        <item x="4"/>
        <item x="220"/>
        <item x="31"/>
        <item x="15"/>
        <item x="147"/>
        <item x="85"/>
        <item x="54"/>
        <item x="163"/>
        <item x="237"/>
        <item x="55"/>
        <item x="140"/>
        <item x="41"/>
        <item x="196"/>
        <item x="148"/>
        <item x="255"/>
        <item x="232"/>
        <item x="171"/>
        <item x="222"/>
        <item x="183"/>
        <item x="215"/>
        <item t="default"/>
      </items>
    </pivotField>
    <pivotField numFmtId="14" showAll="0"/>
    <pivotField showAll="0">
      <items count="9">
        <item x="4"/>
        <item x="5"/>
        <item x="3"/>
        <item x="0"/>
        <item x="1"/>
        <item x="2"/>
        <item x="7"/>
        <item x="6"/>
        <item t="default"/>
      </items>
    </pivotField>
    <pivotField axis="axisRow" showAll="0">
      <items count="6">
        <item x="4"/>
        <item x="3"/>
        <item x="0"/>
        <item x="2"/>
        <item x="1"/>
        <item t="default"/>
      </items>
    </pivotField>
    <pivotField showAll="0">
      <items count="7">
        <item x="5"/>
        <item x="3"/>
        <item x="1"/>
        <item x="0"/>
        <item x="2"/>
        <item x="4"/>
        <item t="default"/>
      </items>
    </pivotField>
    <pivotField showAll="0"/>
    <pivotField showAll="0"/>
    <pivotField dataField="1" showAll="0"/>
    <pivotField dataField="1" numFmtId="165" showAll="0"/>
    <pivotField showAll="0"/>
    <pivotField numFmtId="165" showAll="0"/>
    <pivotField showAll="0"/>
    <pivotField showAll="0">
      <items count="4">
        <item x="1"/>
        <item x="2"/>
        <item x="0"/>
        <item t="default"/>
      </items>
    </pivotField>
  </pivotFields>
  <rowFields count="1">
    <field x="4"/>
  </rowFields>
  <rowItems count="6">
    <i>
      <x/>
    </i>
    <i>
      <x v="1"/>
    </i>
    <i>
      <x v="2"/>
    </i>
    <i>
      <x v="3"/>
    </i>
    <i>
      <x v="4"/>
    </i>
    <i t="grand">
      <x/>
    </i>
  </rowItems>
  <colFields count="1">
    <field x="-2"/>
  </colFields>
  <colItems count="2">
    <i>
      <x/>
    </i>
    <i i="1">
      <x v="1"/>
    </i>
  </colItems>
  <dataFields count="2">
    <dataField name="Average of Unit_Revenue" fld="8" subtotal="average" baseField="4" baseItem="0"/>
    <dataField name="Average of COGS_Per_Unit" fld="9" subtotal="average" baseField="4" baseItem="2" numFmtId="165"/>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575C8A9-B4CA-4441-BC64-EFB4B98B16B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8:E35" firstHeaderRow="1" firstDataRow="2" firstDataCol="1"/>
  <pivotFields count="14">
    <pivotField dataField="1" showAll="0">
      <items count="4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t="default"/>
      </items>
    </pivotField>
    <pivotField numFmtId="14" showAll="0">
      <items count="261">
        <item x="197"/>
        <item x="16"/>
        <item x="162"/>
        <item x="226"/>
        <item x="20"/>
        <item x="251"/>
        <item x="52"/>
        <item x="145"/>
        <item x="32"/>
        <item x="213"/>
        <item x="99"/>
        <item x="135"/>
        <item x="70"/>
        <item x="116"/>
        <item x="69"/>
        <item x="102"/>
        <item x="119"/>
        <item x="39"/>
        <item x="216"/>
        <item x="131"/>
        <item x="156"/>
        <item x="127"/>
        <item x="149"/>
        <item x="182"/>
        <item x="89"/>
        <item x="38"/>
        <item x="95"/>
        <item x="199"/>
        <item x="77"/>
        <item x="122"/>
        <item x="141"/>
        <item x="101"/>
        <item x="169"/>
        <item x="84"/>
        <item x="150"/>
        <item x="109"/>
        <item x="153"/>
        <item x="178"/>
        <item x="62"/>
        <item x="217"/>
        <item x="189"/>
        <item x="13"/>
        <item x="83"/>
        <item x="61"/>
        <item x="14"/>
        <item x="82"/>
        <item x="36"/>
        <item x="124"/>
        <item x="113"/>
        <item x="8"/>
        <item x="205"/>
        <item x="239"/>
        <item x="92"/>
        <item x="142"/>
        <item x="214"/>
        <item x="129"/>
        <item x="252"/>
        <item x="23"/>
        <item x="174"/>
        <item x="114"/>
        <item x="155"/>
        <item x="67"/>
        <item x="123"/>
        <item x="79"/>
        <item x="203"/>
        <item x="43"/>
        <item x="245"/>
        <item x="139"/>
        <item x="19"/>
        <item x="112"/>
        <item x="128"/>
        <item x="104"/>
        <item x="207"/>
        <item x="253"/>
        <item x="257"/>
        <item x="229"/>
        <item x="117"/>
        <item x="143"/>
        <item x="210"/>
        <item x="258"/>
        <item x="94"/>
        <item x="176"/>
        <item x="76"/>
        <item x="46"/>
        <item x="91"/>
        <item x="25"/>
        <item x="180"/>
        <item x="90"/>
        <item x="0"/>
        <item x="24"/>
        <item x="179"/>
        <item x="241"/>
        <item x="120"/>
        <item x="185"/>
        <item x="231"/>
        <item x="51"/>
        <item x="184"/>
        <item x="27"/>
        <item x="170"/>
        <item x="7"/>
        <item x="248"/>
        <item x="49"/>
        <item x="244"/>
        <item x="146"/>
        <item x="88"/>
        <item x="250"/>
        <item x="144"/>
        <item x="72"/>
        <item x="233"/>
        <item x="22"/>
        <item x="137"/>
        <item x="165"/>
        <item x="81"/>
        <item x="97"/>
        <item x="186"/>
        <item x="105"/>
        <item x="159"/>
        <item x="224"/>
        <item x="247"/>
        <item x="195"/>
        <item x="2"/>
        <item x="225"/>
        <item x="60"/>
        <item x="164"/>
        <item x="209"/>
        <item x="106"/>
        <item x="5"/>
        <item x="221"/>
        <item x="151"/>
        <item x="34"/>
        <item x="111"/>
        <item x="235"/>
        <item x="134"/>
        <item x="87"/>
        <item x="254"/>
        <item x="206"/>
        <item x="35"/>
        <item x="227"/>
        <item x="6"/>
        <item x="191"/>
        <item x="167"/>
        <item x="194"/>
        <item x="21"/>
        <item x="132"/>
        <item x="115"/>
        <item x="121"/>
        <item x="63"/>
        <item x="103"/>
        <item x="47"/>
        <item x="66"/>
        <item x="71"/>
        <item x="74"/>
        <item x="118"/>
        <item x="188"/>
        <item x="181"/>
        <item x="18"/>
        <item x="259"/>
        <item x="11"/>
        <item x="256"/>
        <item x="29"/>
        <item x="78"/>
        <item x="230"/>
        <item x="59"/>
        <item x="45"/>
        <item x="190"/>
        <item x="130"/>
        <item x="80"/>
        <item x="152"/>
        <item x="160"/>
        <item x="187"/>
        <item x="126"/>
        <item x="10"/>
        <item x="33"/>
        <item x="138"/>
        <item x="246"/>
        <item x="202"/>
        <item x="48"/>
        <item x="201"/>
        <item x="242"/>
        <item x="56"/>
        <item x="193"/>
        <item x="173"/>
        <item x="28"/>
        <item x="9"/>
        <item x="218"/>
        <item x="37"/>
        <item x="234"/>
        <item x="1"/>
        <item x="107"/>
        <item x="73"/>
        <item x="219"/>
        <item x="157"/>
        <item x="243"/>
        <item x="136"/>
        <item x="249"/>
        <item x="228"/>
        <item x="154"/>
        <item x="177"/>
        <item x="50"/>
        <item x="3"/>
        <item x="75"/>
        <item x="17"/>
        <item x="40"/>
        <item x="200"/>
        <item x="125"/>
        <item x="30"/>
        <item x="64"/>
        <item x="240"/>
        <item x="96"/>
        <item x="26"/>
        <item x="168"/>
        <item x="57"/>
        <item x="98"/>
        <item x="238"/>
        <item x="110"/>
        <item x="204"/>
        <item x="236"/>
        <item x="44"/>
        <item x="58"/>
        <item x="68"/>
        <item x="158"/>
        <item x="93"/>
        <item x="53"/>
        <item x="12"/>
        <item x="108"/>
        <item x="223"/>
        <item x="166"/>
        <item x="133"/>
        <item x="65"/>
        <item x="175"/>
        <item x="172"/>
        <item x="100"/>
        <item x="208"/>
        <item x="198"/>
        <item x="192"/>
        <item x="211"/>
        <item x="86"/>
        <item x="212"/>
        <item x="161"/>
        <item x="42"/>
        <item x="4"/>
        <item x="220"/>
        <item x="31"/>
        <item x="15"/>
        <item x="147"/>
        <item x="85"/>
        <item x="54"/>
        <item x="163"/>
        <item x="237"/>
        <item x="55"/>
        <item x="140"/>
        <item x="41"/>
        <item x="196"/>
        <item x="148"/>
        <item x="255"/>
        <item x="232"/>
        <item x="171"/>
        <item x="222"/>
        <item x="183"/>
        <item x="215"/>
        <item t="default"/>
      </items>
    </pivotField>
    <pivotField numFmtId="14" showAll="0"/>
    <pivotField showAll="0">
      <items count="9">
        <item x="4"/>
        <item x="5"/>
        <item x="3"/>
        <item x="0"/>
        <item x="1"/>
        <item x="2"/>
        <item x="7"/>
        <item x="6"/>
        <item t="default"/>
      </items>
    </pivotField>
    <pivotField axis="axisRow" showAll="0">
      <items count="6">
        <item x="4"/>
        <item x="3"/>
        <item x="0"/>
        <item x="2"/>
        <item x="1"/>
        <item t="default"/>
      </items>
    </pivotField>
    <pivotField showAll="0">
      <items count="7">
        <item x="5"/>
        <item x="3"/>
        <item x="1"/>
        <item x="0"/>
        <item x="2"/>
        <item x="4"/>
        <item t="default"/>
      </items>
    </pivotField>
    <pivotField showAll="0"/>
    <pivotField showAll="0"/>
    <pivotField showAll="0"/>
    <pivotField numFmtId="165" showAll="0"/>
    <pivotField showAll="0"/>
    <pivotField numFmtId="165" showAll="0"/>
    <pivotField showAll="0"/>
    <pivotField axis="axisCol" showAll="0">
      <items count="4">
        <item x="1"/>
        <item x="2"/>
        <item x="0"/>
        <item t="default"/>
      </items>
    </pivotField>
  </pivotFields>
  <rowFields count="1">
    <field x="4"/>
  </rowFields>
  <rowItems count="6">
    <i>
      <x/>
    </i>
    <i>
      <x v="1"/>
    </i>
    <i>
      <x v="2"/>
    </i>
    <i>
      <x v="3"/>
    </i>
    <i>
      <x v="4"/>
    </i>
    <i t="grand">
      <x/>
    </i>
  </rowItems>
  <colFields count="1">
    <field x="13"/>
  </colFields>
  <colItems count="4">
    <i>
      <x/>
    </i>
    <i>
      <x v="1"/>
    </i>
    <i>
      <x v="2"/>
    </i>
    <i t="grand">
      <x/>
    </i>
  </colItems>
  <dataFields count="1">
    <dataField name="Count of Order_ID" fld="0" subtotal="count" baseField="0" baseItem="0"/>
  </dataFields>
  <chartFormats count="3">
    <chartFormat chart="2" format="6" series="1">
      <pivotArea type="data" outline="0" fieldPosition="0">
        <references count="2">
          <reference field="4294967294" count="1" selected="0">
            <x v="0"/>
          </reference>
          <reference field="13" count="1" selected="0">
            <x v="0"/>
          </reference>
        </references>
      </pivotArea>
    </chartFormat>
    <chartFormat chart="2" format="7" series="1">
      <pivotArea type="data" outline="0" fieldPosition="0">
        <references count="2">
          <reference field="4294967294" count="1" selected="0">
            <x v="0"/>
          </reference>
          <reference field="13" count="1" selected="0">
            <x v="1"/>
          </reference>
        </references>
      </pivotArea>
    </chartFormat>
    <chartFormat chart="2" format="8"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EF87127-D51F-468E-9242-7A7CD8AAABB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E13" firstHeaderRow="1" firstDataRow="2" firstDataCol="1"/>
  <pivotFields count="14">
    <pivotField dataField="1" showAll="0">
      <items count="4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t="default"/>
      </items>
    </pivotField>
    <pivotField numFmtId="14" showAll="0">
      <items count="261">
        <item x="197"/>
        <item x="16"/>
        <item x="162"/>
        <item x="226"/>
        <item x="20"/>
        <item x="251"/>
        <item x="52"/>
        <item x="145"/>
        <item x="32"/>
        <item x="213"/>
        <item x="99"/>
        <item x="135"/>
        <item x="70"/>
        <item x="116"/>
        <item x="69"/>
        <item x="102"/>
        <item x="119"/>
        <item x="39"/>
        <item x="216"/>
        <item x="131"/>
        <item x="156"/>
        <item x="127"/>
        <item x="149"/>
        <item x="182"/>
        <item x="89"/>
        <item x="38"/>
        <item x="95"/>
        <item x="199"/>
        <item x="77"/>
        <item x="122"/>
        <item x="141"/>
        <item x="101"/>
        <item x="169"/>
        <item x="84"/>
        <item x="150"/>
        <item x="109"/>
        <item x="153"/>
        <item x="178"/>
        <item x="62"/>
        <item x="217"/>
        <item x="189"/>
        <item x="13"/>
        <item x="83"/>
        <item x="61"/>
        <item x="14"/>
        <item x="82"/>
        <item x="36"/>
        <item x="124"/>
        <item x="113"/>
        <item x="8"/>
        <item x="205"/>
        <item x="239"/>
        <item x="92"/>
        <item x="142"/>
        <item x="214"/>
        <item x="129"/>
        <item x="252"/>
        <item x="23"/>
        <item x="174"/>
        <item x="114"/>
        <item x="155"/>
        <item x="67"/>
        <item x="123"/>
        <item x="79"/>
        <item x="203"/>
        <item x="43"/>
        <item x="245"/>
        <item x="139"/>
        <item x="19"/>
        <item x="112"/>
        <item x="128"/>
        <item x="104"/>
        <item x="207"/>
        <item x="253"/>
        <item x="257"/>
        <item x="229"/>
        <item x="117"/>
        <item x="143"/>
        <item x="210"/>
        <item x="258"/>
        <item x="94"/>
        <item x="176"/>
        <item x="76"/>
        <item x="46"/>
        <item x="91"/>
        <item x="25"/>
        <item x="180"/>
        <item x="90"/>
        <item x="0"/>
        <item x="24"/>
        <item x="179"/>
        <item x="241"/>
        <item x="120"/>
        <item x="185"/>
        <item x="231"/>
        <item x="51"/>
        <item x="184"/>
        <item x="27"/>
        <item x="170"/>
        <item x="7"/>
        <item x="248"/>
        <item x="49"/>
        <item x="244"/>
        <item x="146"/>
        <item x="88"/>
        <item x="250"/>
        <item x="144"/>
        <item x="72"/>
        <item x="233"/>
        <item x="22"/>
        <item x="137"/>
        <item x="165"/>
        <item x="81"/>
        <item x="97"/>
        <item x="186"/>
        <item x="105"/>
        <item x="159"/>
        <item x="224"/>
        <item x="247"/>
        <item x="195"/>
        <item x="2"/>
        <item x="225"/>
        <item x="60"/>
        <item x="164"/>
        <item x="209"/>
        <item x="106"/>
        <item x="5"/>
        <item x="221"/>
        <item x="151"/>
        <item x="34"/>
        <item x="111"/>
        <item x="235"/>
        <item x="134"/>
        <item x="87"/>
        <item x="254"/>
        <item x="206"/>
        <item x="35"/>
        <item x="227"/>
        <item x="6"/>
        <item x="191"/>
        <item x="167"/>
        <item x="194"/>
        <item x="21"/>
        <item x="132"/>
        <item x="115"/>
        <item x="121"/>
        <item x="63"/>
        <item x="103"/>
        <item x="47"/>
        <item x="66"/>
        <item x="71"/>
        <item x="74"/>
        <item x="118"/>
        <item x="188"/>
        <item x="181"/>
        <item x="18"/>
        <item x="259"/>
        <item x="11"/>
        <item x="256"/>
        <item x="29"/>
        <item x="78"/>
        <item x="230"/>
        <item x="59"/>
        <item x="45"/>
        <item x="190"/>
        <item x="130"/>
        <item x="80"/>
        <item x="152"/>
        <item x="160"/>
        <item x="187"/>
        <item x="126"/>
        <item x="10"/>
        <item x="33"/>
        <item x="138"/>
        <item x="246"/>
        <item x="202"/>
        <item x="48"/>
        <item x="201"/>
        <item x="242"/>
        <item x="56"/>
        <item x="193"/>
        <item x="173"/>
        <item x="28"/>
        <item x="9"/>
        <item x="218"/>
        <item x="37"/>
        <item x="234"/>
        <item x="1"/>
        <item x="107"/>
        <item x="73"/>
        <item x="219"/>
        <item x="157"/>
        <item x="243"/>
        <item x="136"/>
        <item x="249"/>
        <item x="228"/>
        <item x="154"/>
        <item x="177"/>
        <item x="50"/>
        <item x="3"/>
        <item x="75"/>
        <item x="17"/>
        <item x="40"/>
        <item x="200"/>
        <item x="125"/>
        <item x="30"/>
        <item x="64"/>
        <item x="240"/>
        <item x="96"/>
        <item x="26"/>
        <item x="168"/>
        <item x="57"/>
        <item x="98"/>
        <item x="238"/>
        <item x="110"/>
        <item x="204"/>
        <item x="236"/>
        <item x="44"/>
        <item x="58"/>
        <item x="68"/>
        <item x="158"/>
        <item x="93"/>
        <item x="53"/>
        <item x="12"/>
        <item x="108"/>
        <item x="223"/>
        <item x="166"/>
        <item x="133"/>
        <item x="65"/>
        <item x="175"/>
        <item x="172"/>
        <item x="100"/>
        <item x="208"/>
        <item x="198"/>
        <item x="192"/>
        <item x="211"/>
        <item x="86"/>
        <item x="212"/>
        <item x="161"/>
        <item x="42"/>
        <item x="4"/>
        <item x="220"/>
        <item x="31"/>
        <item x="15"/>
        <item x="147"/>
        <item x="85"/>
        <item x="54"/>
        <item x="163"/>
        <item x="237"/>
        <item x="55"/>
        <item x="140"/>
        <item x="41"/>
        <item x="196"/>
        <item x="148"/>
        <item x="255"/>
        <item x="232"/>
        <item x="171"/>
        <item x="222"/>
        <item x="183"/>
        <item x="215"/>
        <item t="default"/>
      </items>
    </pivotField>
    <pivotField numFmtId="14" showAll="0"/>
    <pivotField axis="axisRow" showAll="0">
      <items count="9">
        <item x="4"/>
        <item x="5"/>
        <item x="3"/>
        <item x="0"/>
        <item x="1"/>
        <item x="2"/>
        <item x="7"/>
        <item x="6"/>
        <item t="default"/>
      </items>
    </pivotField>
    <pivotField showAll="0">
      <items count="6">
        <item x="1"/>
        <item x="2"/>
        <item x="0"/>
        <item x="3"/>
        <item x="4"/>
        <item t="default"/>
      </items>
    </pivotField>
    <pivotField showAll="0">
      <items count="7">
        <item x="5"/>
        <item x="3"/>
        <item x="1"/>
        <item x="0"/>
        <item x="2"/>
        <item x="4"/>
        <item t="default"/>
      </items>
    </pivotField>
    <pivotField showAll="0"/>
    <pivotField showAll="0"/>
    <pivotField showAll="0"/>
    <pivotField numFmtId="165" showAll="0"/>
    <pivotField showAll="0"/>
    <pivotField numFmtId="165" showAll="0"/>
    <pivotField showAll="0"/>
    <pivotField axis="axisCol" showAll="0">
      <items count="4">
        <item x="1"/>
        <item x="2"/>
        <item x="0"/>
        <item t="default"/>
      </items>
    </pivotField>
  </pivotFields>
  <rowFields count="1">
    <field x="3"/>
  </rowFields>
  <rowItems count="9">
    <i>
      <x/>
    </i>
    <i>
      <x v="1"/>
    </i>
    <i>
      <x v="2"/>
    </i>
    <i>
      <x v="3"/>
    </i>
    <i>
      <x v="4"/>
    </i>
    <i>
      <x v="5"/>
    </i>
    <i>
      <x v="6"/>
    </i>
    <i>
      <x v="7"/>
    </i>
    <i t="grand">
      <x/>
    </i>
  </rowItems>
  <colFields count="1">
    <field x="13"/>
  </colFields>
  <colItems count="4">
    <i>
      <x/>
    </i>
    <i>
      <x v="1"/>
    </i>
    <i>
      <x v="2"/>
    </i>
    <i t="grand">
      <x/>
    </i>
  </colItems>
  <dataFields count="1">
    <dataField name="Count of Order_ID" fld="0" subtotal="count" baseField="0" baseItem="0"/>
  </dataFields>
  <chartFormats count="3">
    <chartFormat chart="2" format="6" series="1">
      <pivotArea type="data" outline="0" fieldPosition="0">
        <references count="2">
          <reference field="4294967294" count="1" selected="0">
            <x v="0"/>
          </reference>
          <reference field="13" count="1" selected="0">
            <x v="0"/>
          </reference>
        </references>
      </pivotArea>
    </chartFormat>
    <chartFormat chart="2" format="7" series="1">
      <pivotArea type="data" outline="0" fieldPosition="0">
        <references count="2">
          <reference field="4294967294" count="1" selected="0">
            <x v="0"/>
          </reference>
          <reference field="13" count="1" selected="0">
            <x v="1"/>
          </reference>
        </references>
      </pivotArea>
    </chartFormat>
    <chartFormat chart="2" format="8"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13202C0-D8F5-48FD-BA4C-B7A8A6CCC16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7:G25" firstHeaderRow="1" firstDataRow="2" firstDataCol="1"/>
  <pivotFields count="14">
    <pivotField showAll="0">
      <items count="4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t="default"/>
      </items>
    </pivotField>
    <pivotField numFmtId="14" showAll="0">
      <items count="261">
        <item x="197"/>
        <item x="16"/>
        <item x="162"/>
        <item x="226"/>
        <item x="20"/>
        <item x="251"/>
        <item x="52"/>
        <item x="145"/>
        <item x="32"/>
        <item x="213"/>
        <item x="99"/>
        <item x="135"/>
        <item x="70"/>
        <item x="116"/>
        <item x="69"/>
        <item x="102"/>
        <item x="119"/>
        <item x="39"/>
        <item x="216"/>
        <item x="131"/>
        <item x="156"/>
        <item x="127"/>
        <item x="149"/>
        <item x="182"/>
        <item x="89"/>
        <item x="38"/>
        <item x="95"/>
        <item x="199"/>
        <item x="77"/>
        <item x="122"/>
        <item x="141"/>
        <item x="101"/>
        <item x="169"/>
        <item x="84"/>
        <item x="150"/>
        <item x="109"/>
        <item x="153"/>
        <item x="178"/>
        <item x="62"/>
        <item x="217"/>
        <item x="189"/>
        <item x="13"/>
        <item x="83"/>
        <item x="61"/>
        <item x="14"/>
        <item x="82"/>
        <item x="36"/>
        <item x="124"/>
        <item x="113"/>
        <item x="8"/>
        <item x="205"/>
        <item x="239"/>
        <item x="92"/>
        <item x="142"/>
        <item x="214"/>
        <item x="129"/>
        <item x="252"/>
        <item x="23"/>
        <item x="174"/>
        <item x="114"/>
        <item x="155"/>
        <item x="67"/>
        <item x="123"/>
        <item x="79"/>
        <item x="203"/>
        <item x="43"/>
        <item x="245"/>
        <item x="139"/>
        <item x="19"/>
        <item x="112"/>
        <item x="128"/>
        <item x="104"/>
        <item x="207"/>
        <item x="253"/>
        <item x="257"/>
        <item x="229"/>
        <item x="117"/>
        <item x="143"/>
        <item x="210"/>
        <item x="258"/>
        <item x="94"/>
        <item x="176"/>
        <item x="76"/>
        <item x="46"/>
        <item x="91"/>
        <item x="25"/>
        <item x="180"/>
        <item x="90"/>
        <item x="0"/>
        <item x="24"/>
        <item x="179"/>
        <item x="241"/>
        <item x="120"/>
        <item x="185"/>
        <item x="231"/>
        <item x="51"/>
        <item x="184"/>
        <item x="27"/>
        <item x="170"/>
        <item x="7"/>
        <item x="248"/>
        <item x="49"/>
        <item x="244"/>
        <item x="146"/>
        <item x="88"/>
        <item x="250"/>
        <item x="144"/>
        <item x="72"/>
        <item x="233"/>
        <item x="22"/>
        <item x="137"/>
        <item x="165"/>
        <item x="81"/>
        <item x="97"/>
        <item x="186"/>
        <item x="105"/>
        <item x="159"/>
        <item x="224"/>
        <item x="247"/>
        <item x="195"/>
        <item x="2"/>
        <item x="225"/>
        <item x="60"/>
        <item x="164"/>
        <item x="209"/>
        <item x="106"/>
        <item x="5"/>
        <item x="221"/>
        <item x="151"/>
        <item x="34"/>
        <item x="111"/>
        <item x="235"/>
        <item x="134"/>
        <item x="87"/>
        <item x="254"/>
        <item x="206"/>
        <item x="35"/>
        <item x="227"/>
        <item x="6"/>
        <item x="191"/>
        <item x="167"/>
        <item x="194"/>
        <item x="21"/>
        <item x="132"/>
        <item x="115"/>
        <item x="121"/>
        <item x="63"/>
        <item x="103"/>
        <item x="47"/>
        <item x="66"/>
        <item x="71"/>
        <item x="74"/>
        <item x="118"/>
        <item x="188"/>
        <item x="181"/>
        <item x="18"/>
        <item x="259"/>
        <item x="11"/>
        <item x="256"/>
        <item x="29"/>
        <item x="78"/>
        <item x="230"/>
        <item x="59"/>
        <item x="45"/>
        <item x="190"/>
        <item x="130"/>
        <item x="80"/>
        <item x="152"/>
        <item x="160"/>
        <item x="187"/>
        <item x="126"/>
        <item x="10"/>
        <item x="33"/>
        <item x="138"/>
        <item x="246"/>
        <item x="202"/>
        <item x="48"/>
        <item x="201"/>
        <item x="242"/>
        <item x="56"/>
        <item x="193"/>
        <item x="173"/>
        <item x="28"/>
        <item x="9"/>
        <item x="218"/>
        <item x="37"/>
        <item x="234"/>
        <item x="1"/>
        <item x="107"/>
        <item x="73"/>
        <item x="219"/>
        <item x="157"/>
        <item x="243"/>
        <item x="136"/>
        <item x="249"/>
        <item x="228"/>
        <item x="154"/>
        <item x="177"/>
        <item x="50"/>
        <item x="3"/>
        <item x="75"/>
        <item x="17"/>
        <item x="40"/>
        <item x="200"/>
        <item x="125"/>
        <item x="30"/>
        <item x="64"/>
        <item x="240"/>
        <item x="96"/>
        <item x="26"/>
        <item x="168"/>
        <item x="57"/>
        <item x="98"/>
        <item x="238"/>
        <item x="110"/>
        <item x="204"/>
        <item x="236"/>
        <item x="44"/>
        <item x="58"/>
        <item x="68"/>
        <item x="158"/>
        <item x="93"/>
        <item x="53"/>
        <item x="12"/>
        <item x="108"/>
        <item x="223"/>
        <item x="166"/>
        <item x="133"/>
        <item x="65"/>
        <item x="175"/>
        <item x="172"/>
        <item x="100"/>
        <item x="208"/>
        <item x="198"/>
        <item x="192"/>
        <item x="211"/>
        <item x="86"/>
        <item x="212"/>
        <item x="161"/>
        <item x="42"/>
        <item x="4"/>
        <item x="220"/>
        <item x="31"/>
        <item x="15"/>
        <item x="147"/>
        <item x="85"/>
        <item x="54"/>
        <item x="163"/>
        <item x="237"/>
        <item x="55"/>
        <item x="140"/>
        <item x="41"/>
        <item x="196"/>
        <item x="148"/>
        <item x="255"/>
        <item x="232"/>
        <item x="171"/>
        <item x="222"/>
        <item x="183"/>
        <item x="215"/>
        <item t="default"/>
      </items>
    </pivotField>
    <pivotField numFmtId="14" showAll="0"/>
    <pivotField showAll="0">
      <items count="9">
        <item x="4"/>
        <item x="5"/>
        <item x="3"/>
        <item x="0"/>
        <item x="1"/>
        <item x="2"/>
        <item x="7"/>
        <item x="6"/>
        <item t="default"/>
      </items>
    </pivotField>
    <pivotField axis="axisCol" showAll="0" sortType="descending">
      <items count="6">
        <item x="4"/>
        <item x="3"/>
        <item x="0"/>
        <item x="2"/>
        <item x="1"/>
        <item t="default"/>
      </items>
      <autoSortScope>
        <pivotArea dataOnly="0" outline="0" fieldPosition="0">
          <references count="1">
            <reference field="4294967294" count="1" selected="0">
              <x v="0"/>
            </reference>
          </references>
        </pivotArea>
      </autoSortScope>
    </pivotField>
    <pivotField axis="axisRow" showAll="0">
      <items count="7">
        <item x="5"/>
        <item x="3"/>
        <item x="1"/>
        <item x="0"/>
        <item x="2"/>
        <item x="4"/>
        <item t="default"/>
      </items>
    </pivotField>
    <pivotField showAll="0"/>
    <pivotField dataField="1" showAll="0"/>
    <pivotField showAll="0"/>
    <pivotField numFmtId="165" showAll="0"/>
    <pivotField showAll="0"/>
    <pivotField numFmtId="165" showAll="0"/>
    <pivotField showAll="0"/>
    <pivotField showAll="0">
      <items count="4">
        <item x="1"/>
        <item x="2"/>
        <item x="0"/>
        <item t="default"/>
      </items>
    </pivotField>
  </pivotFields>
  <rowFields count="1">
    <field x="5"/>
  </rowFields>
  <rowItems count="7">
    <i>
      <x/>
    </i>
    <i>
      <x v="1"/>
    </i>
    <i>
      <x v="2"/>
    </i>
    <i>
      <x v="3"/>
    </i>
    <i>
      <x v="4"/>
    </i>
    <i>
      <x v="5"/>
    </i>
    <i t="grand">
      <x/>
    </i>
  </rowItems>
  <colFields count="1">
    <field x="4"/>
  </colFields>
  <colItems count="6">
    <i>
      <x/>
    </i>
    <i>
      <x v="4"/>
    </i>
    <i>
      <x v="3"/>
    </i>
    <i>
      <x v="2"/>
    </i>
    <i>
      <x v="1"/>
    </i>
    <i t="grand">
      <x/>
    </i>
  </colItems>
  <dataFields count="1">
    <dataField name="Sum of Units_Shipped" fld="7" baseField="0" baseItem="0"/>
  </dataFields>
  <chartFormats count="5">
    <chartFormat chart="2" format="10" series="1">
      <pivotArea type="data" outline="0" fieldPosition="0">
        <references count="2">
          <reference field="4294967294" count="1" selected="0">
            <x v="0"/>
          </reference>
          <reference field="4" count="1" selected="0">
            <x v="0"/>
          </reference>
        </references>
      </pivotArea>
    </chartFormat>
    <chartFormat chart="2" format="11" series="1">
      <pivotArea type="data" outline="0" fieldPosition="0">
        <references count="2">
          <reference field="4294967294" count="1" selected="0">
            <x v="0"/>
          </reference>
          <reference field="4" count="1" selected="0">
            <x v="4"/>
          </reference>
        </references>
      </pivotArea>
    </chartFormat>
    <chartFormat chart="2" format="12" series="1">
      <pivotArea type="data" outline="0" fieldPosition="0">
        <references count="2">
          <reference field="4294967294" count="1" selected="0">
            <x v="0"/>
          </reference>
          <reference field="4" count="1" selected="0">
            <x v="3"/>
          </reference>
        </references>
      </pivotArea>
    </chartFormat>
    <chartFormat chart="2" format="13" series="1">
      <pivotArea type="data" outline="0" fieldPosition="0">
        <references count="2">
          <reference field="4294967294" count="1" selected="0">
            <x v="0"/>
          </reference>
          <reference field="4" count="1" selected="0">
            <x v="2"/>
          </reference>
        </references>
      </pivotArea>
    </chartFormat>
    <chartFormat chart="2" format="14"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arehouse_ID" xr10:uid="{6A4EA571-C1C6-4920-8F5D-304CBC69698D}" sourceName="Warehouse_ID">
  <pivotTables>
    <pivotTable tabId="9" name="PivotTable1"/>
    <pivotTable tabId="9" name="PivotTable2"/>
    <pivotTable tabId="9" name="PivotTable3"/>
    <pivotTable tabId="9" name="PivotTable4"/>
  </pivotTables>
  <data>
    <tabular pivotCacheId="1294548453">
      <items count="6">
        <i x="5" s="1"/>
        <i x="3" s="1"/>
        <i x="1" s="1"/>
        <i x="0"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E31D1CCB-212F-48DF-8FD5-D419095C0C33}" sourceName="Product_Category">
  <pivotTables>
    <pivotTable tabId="9" name="PivotTable1"/>
    <pivotTable tabId="9" name="PivotTable2"/>
    <pivotTable tabId="9" name="PivotTable3"/>
    <pivotTable tabId="9" name="PivotTable4"/>
  </pivotTables>
  <data>
    <tabular pivotCacheId="1294548453">
      <items count="5">
        <i x="1" s="1"/>
        <i x="2" s="1"/>
        <i x="0"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arehouse_ID" xr10:uid="{CA3C71F8-1E1F-4CA0-AB9E-7EE2CA13EE95}" cache="Slicer_Warehouse_ID" caption="Warehouse_ID" style="SlicerStyleLight3" rowHeight="234950"/>
  <slicer name="Product_Category" xr10:uid="{57CEEB0C-CE75-4406-8CF2-BC42FE87DDC2}" cache="Slicer_Product_Category" caption="Product_Category" style="SlicerStyleLight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A23ABDE-F728-4DBB-B266-2F18139D240F}" name="Table1" displayName="Table1" ref="A1:N489" totalsRowShown="0" headerRowDxfId="19" dataDxfId="18">
  <autoFilter ref="A1:N489" xr:uid="{1A23ABDE-F728-4DBB-B266-2F18139D240F}">
    <filterColumn colId="3">
      <filters>
        <filter val="BLUE STAR WHOLESALE"/>
      </filters>
    </filterColumn>
  </autoFilter>
  <tableColumns count="14">
    <tableColumn id="1" xr3:uid="{DB1CB9FF-743F-4D76-B6CD-4F41A197DD8F}" name="Order_ID" dataDxfId="17">
      <calculatedColumnFormula>RAW_DATA!A14</calculatedColumnFormula>
    </tableColumn>
    <tableColumn id="2" xr3:uid="{EEA0862F-326D-470F-A9D0-0A58A99C9D95}" name="Order_Date" dataDxfId="16"/>
    <tableColumn id="3" xr3:uid="{D9EB2694-0D0C-4AA8-83A1-7A9C8FD056FF}" name="Delivery_Date" dataDxfId="15"/>
    <tableColumn id="4" xr3:uid="{D26B6AB9-0363-48EF-9B97-6F5DC0511805}" name="Supplier_Name" dataDxfId="14"/>
    <tableColumn id="5" xr3:uid="{AD1C6905-BDD9-458E-AA1B-6ED8FB322498}" name="Product_Category" dataDxfId="13"/>
    <tableColumn id="6" xr3:uid="{0F7637D3-5DCD-4C21-A965-01020F6F0160}" name="Warehouse_ID" dataDxfId="12">
      <calculatedColumnFormula>RAW_DATA!F14</calculatedColumnFormula>
    </tableColumn>
    <tableColumn id="7" xr3:uid="{ACA6C502-B746-43E8-97F0-E36AF77CA398}" name="Units_Ordered" dataDxfId="11">
      <calculatedColumnFormula>RAW_DATA!G14</calculatedColumnFormula>
    </tableColumn>
    <tableColumn id="8" xr3:uid="{AEF9A993-6280-4160-84AD-49F3DA3376AF}" name="Units_Shipped" dataDxfId="10">
      <calculatedColumnFormula>RAW_DATA!H14</calculatedColumnFormula>
    </tableColumn>
    <tableColumn id="9" xr3:uid="{9FBB482D-BDDF-49FB-8EEE-4E82007AAAC1}" name="Unit_Revenue" dataDxfId="9">
      <calculatedColumnFormula>RAW_DATA!I14</calculatedColumnFormula>
    </tableColumn>
    <tableColumn id="10" xr3:uid="{9C4F4825-DE5B-42C4-B889-114C286C199D}" name="COGS_Per_Unit" dataDxfId="8">
      <calculatedColumnFormula>RAW_DATA!J14</calculatedColumnFormula>
    </tableColumn>
    <tableColumn id="11" xr3:uid="{D32C3971-FDB1-4651-A2D5-1D1DDB763957}" name="Promised_Lead_Time" dataDxfId="7">
      <calculatedColumnFormula>RAW_DATA!K14</calculatedColumnFormula>
    </tableColumn>
    <tableColumn id="12" xr3:uid="{FF93AE18-59B2-401F-BD11-48E2B3071706}" name="Inventory_Value_OnHand">
      <calculatedColumnFormula>RAW_DATA!L14</calculatedColumnFormula>
    </tableColumn>
    <tableColumn id="13" xr3:uid="{0DD6891A-BF79-4744-90A4-64756474CEE2}" name="Delivery_Days" dataDxfId="6">
      <calculatedColumnFormula>C2-B2</calculatedColumnFormula>
    </tableColumn>
    <tableColumn id="14" xr3:uid="{371DD129-2EF2-4A92-B8BE-458C77FA859F}" name="On_Time_Flag" dataDxfId="5">
      <calculatedColumnFormula>IF(M2&lt;=K2,"On Time", "Late")</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B6DE5-F684-4D56-945B-C31CA7C6DC58}">
  <dimension ref="A1:N489"/>
  <sheetViews>
    <sheetView workbookViewId="0">
      <selection activeCell="J47" sqref="J47"/>
    </sheetView>
  </sheetViews>
  <sheetFormatPr defaultRowHeight="14.4" x14ac:dyDescent="0.3"/>
  <cols>
    <col min="1" max="1" width="10.44140625" customWidth="1"/>
    <col min="2" max="2" width="12.5546875" customWidth="1"/>
    <col min="3" max="3" width="14.5546875" customWidth="1"/>
    <col min="4" max="4" width="22.77734375" customWidth="1"/>
    <col min="5" max="5" width="18.109375" customWidth="1"/>
    <col min="6" max="6" width="15.21875" customWidth="1"/>
    <col min="7" max="8" width="15.109375" customWidth="1"/>
    <col min="9" max="9" width="14.77734375" customWidth="1"/>
    <col min="10" max="10" width="15.88671875" customWidth="1"/>
    <col min="11" max="11" width="20.88671875" customWidth="1"/>
    <col min="12" max="12" width="24.77734375" customWidth="1"/>
    <col min="13" max="13" width="14.6640625" customWidth="1"/>
    <col min="14" max="14" width="14.77734375" customWidth="1"/>
  </cols>
  <sheetData>
    <row r="1" spans="1:14" s="6" customFormat="1" x14ac:dyDescent="0.3">
      <c r="A1" s="7" t="s">
        <v>0</v>
      </c>
      <c r="B1" s="7" t="s">
        <v>1</v>
      </c>
      <c r="C1" s="7" t="s">
        <v>2</v>
      </c>
      <c r="D1" s="7" t="s">
        <v>3</v>
      </c>
      <c r="E1" s="7" t="s">
        <v>4</v>
      </c>
      <c r="F1" s="7" t="s">
        <v>5</v>
      </c>
      <c r="G1" s="7" t="s">
        <v>6</v>
      </c>
      <c r="H1" s="7" t="s">
        <v>7</v>
      </c>
      <c r="I1" s="7" t="s">
        <v>8</v>
      </c>
      <c r="J1" s="7" t="s">
        <v>9</v>
      </c>
      <c r="K1" s="7" t="s">
        <v>10</v>
      </c>
      <c r="L1" s="7" t="s">
        <v>11</v>
      </c>
      <c r="M1" s="8" t="s">
        <v>580</v>
      </c>
      <c r="N1" s="21" t="s">
        <v>582</v>
      </c>
    </row>
    <row r="2" spans="1:14" ht="15" hidden="1" thickTop="1" x14ac:dyDescent="0.3">
      <c r="A2" s="9" t="str">
        <f>RAW_DATA!A2</f>
        <v>ORD-0001</v>
      </c>
      <c r="B2" s="10">
        <v>45052</v>
      </c>
      <c r="C2" s="10">
        <v>45053</v>
      </c>
      <c r="D2" s="11" t="s">
        <v>569</v>
      </c>
      <c r="E2" s="11" t="s">
        <v>573</v>
      </c>
      <c r="F2" s="11" t="str">
        <f>RAW_DATA!F2</f>
        <v>WH-C</v>
      </c>
      <c r="G2" s="11">
        <f>RAW_DATA!G2</f>
        <v>366</v>
      </c>
      <c r="H2" s="11">
        <f>RAW_DATA!H2</f>
        <v>366</v>
      </c>
      <c r="I2" s="22">
        <f>RAW_DATA!I2</f>
        <v>13.53</v>
      </c>
      <c r="J2" s="22">
        <f>RAW_DATA!J2</f>
        <v>9.0399999999999991</v>
      </c>
      <c r="K2" s="11">
        <f>RAW_DATA!K2</f>
        <v>4</v>
      </c>
      <c r="L2" s="22">
        <f>RAW_DATA!L2</f>
        <v>3040.87</v>
      </c>
      <c r="M2" s="12">
        <f>C2-B2</f>
        <v>1</v>
      </c>
      <c r="N2" s="12" t="str">
        <f>IF(M2&lt;=K2,"On Time", "Late")</f>
        <v>On Time</v>
      </c>
    </row>
    <row r="3" spans="1:14" hidden="1" x14ac:dyDescent="0.3">
      <c r="A3" s="13" t="str">
        <f>RAW_DATA!A3</f>
        <v>ORD-0002</v>
      </c>
      <c r="B3" s="14">
        <v>45185</v>
      </c>
      <c r="C3" s="14">
        <v>45187</v>
      </c>
      <c r="D3" s="15" t="s">
        <v>569</v>
      </c>
      <c r="E3" s="15" t="s">
        <v>574</v>
      </c>
      <c r="F3" s="15" t="str">
        <f>RAW_DATA!F3</f>
        <v>WH-B</v>
      </c>
      <c r="G3" s="15">
        <f>RAW_DATA!G3</f>
        <v>386</v>
      </c>
      <c r="H3" s="15">
        <f>RAW_DATA!H3</f>
        <v>386</v>
      </c>
      <c r="I3" s="23">
        <f>RAW_DATA!I3</f>
        <v>9.02</v>
      </c>
      <c r="J3" s="23">
        <f>RAW_DATA!J3</f>
        <v>5.36</v>
      </c>
      <c r="K3" s="15">
        <f>RAW_DATA!K3</f>
        <v>4</v>
      </c>
      <c r="L3" s="23">
        <f>RAW_DATA!L3</f>
        <v>2593.56</v>
      </c>
      <c r="M3" s="15">
        <f t="shared" ref="M3:M66" si="0">C3-B3</f>
        <v>2</v>
      </c>
      <c r="N3" s="15" t="str">
        <f t="shared" ref="N3:N66" si="1">IF(M3&lt;=K3,"On Time", "Late")</f>
        <v>On Time</v>
      </c>
    </row>
    <row r="4" spans="1:14" hidden="1" x14ac:dyDescent="0.3">
      <c r="A4" s="16" t="str">
        <f>RAW_DATA!A4</f>
        <v>ORD-0003</v>
      </c>
      <c r="B4" s="17">
        <v>45101</v>
      </c>
      <c r="C4" s="17">
        <v>45102</v>
      </c>
      <c r="D4" s="18" t="s">
        <v>578</v>
      </c>
      <c r="E4" s="18" t="s">
        <v>574</v>
      </c>
      <c r="F4" s="18" t="str">
        <f>RAW_DATA!F4</f>
        <v>WH-D</v>
      </c>
      <c r="G4" s="18">
        <f>RAW_DATA!G4</f>
        <v>192</v>
      </c>
      <c r="H4" s="18">
        <f>RAW_DATA!H4</f>
        <v>192</v>
      </c>
      <c r="I4" s="24">
        <f>RAW_DATA!I4</f>
        <v>8.2200000000000006</v>
      </c>
      <c r="J4" s="24">
        <f>RAW_DATA!J4</f>
        <v>5.1100000000000003</v>
      </c>
      <c r="K4" s="18">
        <f>RAW_DATA!K4</f>
        <v>3</v>
      </c>
      <c r="L4" s="24">
        <f>RAW_DATA!L4</f>
        <v>1085.49</v>
      </c>
      <c r="M4" s="18">
        <f t="shared" si="0"/>
        <v>1</v>
      </c>
      <c r="N4" s="18" t="str">
        <f t="shared" si="1"/>
        <v>On Time</v>
      </c>
    </row>
    <row r="5" spans="1:14" hidden="1" x14ac:dyDescent="0.3">
      <c r="A5" s="13" t="str">
        <f>RAW_DATA!A5</f>
        <v>ORD-0004</v>
      </c>
      <c r="B5" s="14">
        <v>45201</v>
      </c>
      <c r="C5" s="14">
        <v>45203</v>
      </c>
      <c r="D5" s="15" t="s">
        <v>579</v>
      </c>
      <c r="E5" s="15" t="s">
        <v>573</v>
      </c>
      <c r="F5" s="15" t="str">
        <f>RAW_DATA!F5</f>
        <v>WH-D</v>
      </c>
      <c r="G5" s="15">
        <f>RAW_DATA!G5</f>
        <v>60</v>
      </c>
      <c r="H5" s="15">
        <f>RAW_DATA!H5</f>
        <v>60</v>
      </c>
      <c r="I5" s="23">
        <f>RAW_DATA!I5</f>
        <v>15.57</v>
      </c>
      <c r="J5" s="23">
        <f>RAW_DATA!J5</f>
        <v>10.49</v>
      </c>
      <c r="K5" s="15">
        <f>RAW_DATA!K5</f>
        <v>3</v>
      </c>
      <c r="L5" s="23">
        <f>RAW_DATA!L5</f>
        <v>891.87</v>
      </c>
      <c r="M5" s="15">
        <f t="shared" si="0"/>
        <v>2</v>
      </c>
      <c r="N5" s="15" t="str">
        <f t="shared" si="1"/>
        <v>On Time</v>
      </c>
    </row>
    <row r="6" spans="1:14" hidden="1" x14ac:dyDescent="0.3">
      <c r="A6" s="16" t="str">
        <f>RAW_DATA!A6</f>
        <v>ORD-0005</v>
      </c>
      <c r="B6" s="17">
        <v>45265</v>
      </c>
      <c r="C6" s="17">
        <v>45268</v>
      </c>
      <c r="D6" s="18" t="s">
        <v>572</v>
      </c>
      <c r="E6" s="18" t="s">
        <v>573</v>
      </c>
      <c r="F6" s="18" t="str">
        <f>RAW_DATA!F6</f>
        <v>WH-A</v>
      </c>
      <c r="G6" s="18">
        <f>RAW_DATA!G6</f>
        <v>60</v>
      </c>
      <c r="H6" s="18">
        <f>RAW_DATA!H6</f>
        <v>60</v>
      </c>
      <c r="I6" s="24">
        <f>RAW_DATA!I6</f>
        <v>15.84</v>
      </c>
      <c r="J6" s="24">
        <f>RAW_DATA!J6</f>
        <v>9.92</v>
      </c>
      <c r="K6" s="18">
        <f>RAW_DATA!K6</f>
        <v>5</v>
      </c>
      <c r="L6" s="24">
        <f>RAW_DATA!L6</f>
        <v>697.6</v>
      </c>
      <c r="M6" s="18">
        <f t="shared" si="0"/>
        <v>3</v>
      </c>
      <c r="N6" s="18" t="str">
        <f t="shared" si="1"/>
        <v>On Time</v>
      </c>
    </row>
    <row r="7" spans="1:14" hidden="1" x14ac:dyDescent="0.3">
      <c r="A7" s="13" t="str">
        <f>RAW_DATA!A7</f>
        <v>ORD-0006</v>
      </c>
      <c r="B7" s="14">
        <v>45108</v>
      </c>
      <c r="C7" s="14">
        <v>45111</v>
      </c>
      <c r="D7" s="15" t="s">
        <v>211</v>
      </c>
      <c r="E7" s="15" t="s">
        <v>574</v>
      </c>
      <c r="F7" s="15" t="str">
        <f>RAW_DATA!F7</f>
        <v>WH-C</v>
      </c>
      <c r="G7" s="15">
        <f>RAW_DATA!G7</f>
        <v>379</v>
      </c>
      <c r="H7" s="15">
        <f>RAW_DATA!H7</f>
        <v>379</v>
      </c>
      <c r="I7" s="23" t="str">
        <f>RAW_DATA!I7</f>
        <v>$9.51</v>
      </c>
      <c r="J7" s="23">
        <f>RAW_DATA!J7</f>
        <v>6.39</v>
      </c>
      <c r="K7" s="15">
        <f>RAW_DATA!K7</f>
        <v>6</v>
      </c>
      <c r="L7" s="23">
        <f>RAW_DATA!L7</f>
        <v>2428.31</v>
      </c>
      <c r="M7" s="15">
        <f t="shared" si="0"/>
        <v>3</v>
      </c>
      <c r="N7" s="15" t="str">
        <f t="shared" si="1"/>
        <v>On Time</v>
      </c>
    </row>
    <row r="8" spans="1:14" hidden="1" x14ac:dyDescent="0.3">
      <c r="A8" s="16" t="str">
        <f>RAW_DATA!A8</f>
        <v>ORD-0007</v>
      </c>
      <c r="B8" s="17">
        <v>45121</v>
      </c>
      <c r="C8" s="17">
        <v>45126</v>
      </c>
      <c r="D8" s="18" t="s">
        <v>572</v>
      </c>
      <c r="E8" s="18" t="s">
        <v>574</v>
      </c>
      <c r="F8" s="18" t="str">
        <f>RAW_DATA!F8</f>
        <v>WH-D</v>
      </c>
      <c r="G8" s="18">
        <f>RAW_DATA!G8</f>
        <v>132</v>
      </c>
      <c r="H8" s="18">
        <f>RAW_DATA!H8</f>
        <v>132</v>
      </c>
      <c r="I8" s="24">
        <f>RAW_DATA!I8</f>
        <v>10.45</v>
      </c>
      <c r="J8" s="24">
        <f>RAW_DATA!J8</f>
        <v>7.37</v>
      </c>
      <c r="K8" s="18">
        <f>RAW_DATA!K8</f>
        <v>5</v>
      </c>
      <c r="L8" s="24">
        <f>RAW_DATA!L8</f>
        <v>1009.25</v>
      </c>
      <c r="M8" s="18">
        <f t="shared" si="0"/>
        <v>5</v>
      </c>
      <c r="N8" s="18" t="str">
        <f t="shared" si="1"/>
        <v>On Time</v>
      </c>
    </row>
    <row r="9" spans="1:14" hidden="1" x14ac:dyDescent="0.3">
      <c r="A9" s="13" t="str">
        <f>RAW_DATA!A9</f>
        <v>ORD-0008</v>
      </c>
      <c r="B9" s="14">
        <v>45064</v>
      </c>
      <c r="C9" s="14">
        <v>45067</v>
      </c>
      <c r="D9" s="15" t="s">
        <v>578</v>
      </c>
      <c r="E9" s="15" t="s">
        <v>575</v>
      </c>
      <c r="F9" s="15" t="str">
        <f>RAW_DATA!F9</f>
        <v>WH-D</v>
      </c>
      <c r="G9" s="15">
        <f>RAW_DATA!G9</f>
        <v>387</v>
      </c>
      <c r="H9" s="15">
        <f>RAW_DATA!H9</f>
        <v>387</v>
      </c>
      <c r="I9" s="23">
        <f>RAW_DATA!I9</f>
        <v>17.899999999999999</v>
      </c>
      <c r="J9" s="23">
        <f>RAW_DATA!J9</f>
        <v>11.26</v>
      </c>
      <c r="K9" s="15">
        <f>RAW_DATA!K9</f>
        <v>3</v>
      </c>
      <c r="L9" s="23">
        <f>RAW_DATA!L9</f>
        <v>6313.01</v>
      </c>
      <c r="M9" s="15">
        <f t="shared" si="0"/>
        <v>3</v>
      </c>
      <c r="N9" s="15" t="str">
        <f t="shared" si="1"/>
        <v>On Time</v>
      </c>
    </row>
    <row r="10" spans="1:14" x14ac:dyDescent="0.3">
      <c r="A10" s="16" t="str">
        <f>RAW_DATA!A10</f>
        <v>ORD-0009</v>
      </c>
      <c r="B10" s="17">
        <v>44998</v>
      </c>
      <c r="C10" s="17">
        <v>45003</v>
      </c>
      <c r="D10" s="18" t="s">
        <v>570</v>
      </c>
      <c r="E10" s="18" t="s">
        <v>574</v>
      </c>
      <c r="F10" s="18" t="str">
        <f>RAW_DATA!F10</f>
        <v>WH-C</v>
      </c>
      <c r="G10" s="18">
        <f>RAW_DATA!G10</f>
        <v>295</v>
      </c>
      <c r="H10" s="18">
        <f>RAW_DATA!H10</f>
        <v>295</v>
      </c>
      <c r="I10" s="24">
        <f>RAW_DATA!I10</f>
        <v>9.2100000000000009</v>
      </c>
      <c r="J10" s="24">
        <f>RAW_DATA!J10</f>
        <v>6.72</v>
      </c>
      <c r="K10" s="18">
        <f>RAW_DATA!K10</f>
        <v>7</v>
      </c>
      <c r="L10" s="24">
        <f>RAW_DATA!L10</f>
        <v>2259.2199999999998</v>
      </c>
      <c r="M10" s="18">
        <f t="shared" si="0"/>
        <v>5</v>
      </c>
      <c r="N10" s="18" t="str">
        <f t="shared" si="1"/>
        <v>On Time</v>
      </c>
    </row>
    <row r="11" spans="1:14" hidden="1" x14ac:dyDescent="0.3">
      <c r="A11" s="13" t="str">
        <f>RAW_DATA!A11</f>
        <v>ORD-0010</v>
      </c>
      <c r="B11" s="14">
        <v>45179</v>
      </c>
      <c r="C11" s="14">
        <v>45180</v>
      </c>
      <c r="D11" s="15" t="s">
        <v>572</v>
      </c>
      <c r="E11" s="15" t="s">
        <v>574</v>
      </c>
      <c r="F11" s="15" t="str">
        <f>RAW_DATA!F11</f>
        <v>WH-E</v>
      </c>
      <c r="G11" s="15">
        <f>RAW_DATA!G11</f>
        <v>76</v>
      </c>
      <c r="H11" s="15">
        <f>RAW_DATA!H11</f>
        <v>76</v>
      </c>
      <c r="I11" s="23">
        <f>RAW_DATA!I11</f>
        <v>7.17</v>
      </c>
      <c r="J11" s="23">
        <f>RAW_DATA!J11</f>
        <v>4.92</v>
      </c>
      <c r="K11" s="15">
        <f>RAW_DATA!K11</f>
        <v>5</v>
      </c>
      <c r="L11" s="23">
        <f>RAW_DATA!L11</f>
        <v>470.33</v>
      </c>
      <c r="M11" s="15">
        <f t="shared" si="0"/>
        <v>1</v>
      </c>
      <c r="N11" s="15" t="str">
        <f t="shared" si="1"/>
        <v>On Time</v>
      </c>
    </row>
    <row r="12" spans="1:14" hidden="1" x14ac:dyDescent="0.3">
      <c r="A12" s="16" t="str">
        <f>RAW_DATA!A12</f>
        <v>ORD-0011</v>
      </c>
      <c r="B12" s="17">
        <v>45166</v>
      </c>
      <c r="C12" s="17">
        <v>45167</v>
      </c>
      <c r="D12" s="18" t="s">
        <v>571</v>
      </c>
      <c r="E12" s="18" t="s">
        <v>576</v>
      </c>
      <c r="F12" s="18" t="str">
        <f>RAW_DATA!F12</f>
        <v>WH-E</v>
      </c>
      <c r="G12" s="18">
        <f>RAW_DATA!G12</f>
        <v>368</v>
      </c>
      <c r="H12" s="18">
        <f>RAW_DATA!H12</f>
        <v>368</v>
      </c>
      <c r="I12" s="24">
        <f>RAW_DATA!I12</f>
        <v>24.18</v>
      </c>
      <c r="J12" s="24">
        <f>RAW_DATA!J12</f>
        <v>15.9</v>
      </c>
      <c r="K12" s="18">
        <f>RAW_DATA!K12</f>
        <v>4</v>
      </c>
      <c r="L12" s="24">
        <f>RAW_DATA!L12</f>
        <v>6202.83</v>
      </c>
      <c r="M12" s="18">
        <f t="shared" si="0"/>
        <v>1</v>
      </c>
      <c r="N12" s="18" t="str">
        <f t="shared" si="1"/>
        <v>On Time</v>
      </c>
    </row>
    <row r="13" spans="1:14" hidden="1" x14ac:dyDescent="0.3">
      <c r="A13" s="13" t="str">
        <f>RAW_DATA!A13</f>
        <v>ORD-0012</v>
      </c>
      <c r="B13" s="14">
        <v>45149</v>
      </c>
      <c r="C13" s="14">
        <v>45150</v>
      </c>
      <c r="D13" s="15" t="s">
        <v>211</v>
      </c>
      <c r="E13" s="15" t="s">
        <v>573</v>
      </c>
      <c r="F13" s="15" t="str">
        <f>RAW_DATA!F13</f>
        <v>WH-C</v>
      </c>
      <c r="G13" s="15">
        <f>RAW_DATA!G13</f>
        <v>389</v>
      </c>
      <c r="H13" s="15">
        <f>RAW_DATA!H13</f>
        <v>389</v>
      </c>
      <c r="I13" s="23">
        <f>RAW_DATA!I13</f>
        <v>11.5</v>
      </c>
      <c r="J13" s="23">
        <f>RAW_DATA!J13</f>
        <v>7.48</v>
      </c>
      <c r="K13" s="15">
        <f>RAW_DATA!K13</f>
        <v>6</v>
      </c>
      <c r="L13" s="23">
        <f>RAW_DATA!L13</f>
        <v>2930.64</v>
      </c>
      <c r="M13" s="15">
        <f t="shared" si="0"/>
        <v>1</v>
      </c>
      <c r="N13" s="15" t="str">
        <f t="shared" si="1"/>
        <v>On Time</v>
      </c>
    </row>
    <row r="14" spans="1:14" hidden="1" x14ac:dyDescent="0.3">
      <c r="A14" s="16" t="str">
        <f>RAW_DATA!A14</f>
        <v>ORD-0013</v>
      </c>
      <c r="B14" s="17">
        <v>45238</v>
      </c>
      <c r="C14" s="17">
        <v>45241</v>
      </c>
      <c r="D14" s="18" t="s">
        <v>569</v>
      </c>
      <c r="E14" s="18" t="s">
        <v>575</v>
      </c>
      <c r="F14" s="18" t="str">
        <f>RAW_DATA!F14</f>
        <v>WH-E</v>
      </c>
      <c r="G14" s="18">
        <f>RAW_DATA!G14</f>
        <v>102</v>
      </c>
      <c r="H14" s="18">
        <f>RAW_DATA!H14</f>
        <v>102</v>
      </c>
      <c r="I14" s="24">
        <f>RAW_DATA!I14</f>
        <v>19.010000000000002</v>
      </c>
      <c r="J14" s="24">
        <f>RAW_DATA!J14</f>
        <v>12.47</v>
      </c>
      <c r="K14" s="18">
        <f>RAW_DATA!K14</f>
        <v>4</v>
      </c>
      <c r="L14" s="24">
        <f>RAW_DATA!L14</f>
        <v>1145.18</v>
      </c>
      <c r="M14" s="18">
        <f t="shared" si="0"/>
        <v>3</v>
      </c>
      <c r="N14" s="18" t="str">
        <f t="shared" si="1"/>
        <v>On Time</v>
      </c>
    </row>
    <row r="15" spans="1:14" hidden="1" x14ac:dyDescent="0.3">
      <c r="A15" s="13" t="str">
        <f>RAW_DATA!A15</f>
        <v>ORD-0014</v>
      </c>
      <c r="B15" s="14">
        <v>44984</v>
      </c>
      <c r="C15" s="14">
        <v>44987</v>
      </c>
      <c r="D15" s="15" t="s">
        <v>211</v>
      </c>
      <c r="E15" s="15" t="s">
        <v>576</v>
      </c>
      <c r="F15" s="15" t="str">
        <f>RAW_DATA!F15</f>
        <v>WH-A</v>
      </c>
      <c r="G15" s="15">
        <f>RAW_DATA!G15</f>
        <v>142</v>
      </c>
      <c r="H15" s="15">
        <f>RAW_DATA!H15</f>
        <v>142</v>
      </c>
      <c r="I15" s="23">
        <f>RAW_DATA!I15</f>
        <v>26.54</v>
      </c>
      <c r="J15" s="23">
        <f>RAW_DATA!J15</f>
        <v>19.62</v>
      </c>
      <c r="K15" s="15">
        <f>RAW_DATA!K15</f>
        <v>6</v>
      </c>
      <c r="L15" s="23">
        <f>RAW_DATA!L15</f>
        <v>2650.62</v>
      </c>
      <c r="M15" s="15">
        <f t="shared" si="0"/>
        <v>3</v>
      </c>
      <c r="N15" s="15" t="str">
        <f t="shared" si="1"/>
        <v>On Time</v>
      </c>
    </row>
    <row r="16" spans="1:14" x14ac:dyDescent="0.3">
      <c r="A16" s="16" t="str">
        <f>RAW_DATA!A16</f>
        <v>ORD-0015</v>
      </c>
      <c r="B16" s="17">
        <v>44991</v>
      </c>
      <c r="C16" s="17">
        <v>44995</v>
      </c>
      <c r="D16" s="18" t="s">
        <v>570</v>
      </c>
      <c r="E16" s="18" t="s">
        <v>573</v>
      </c>
      <c r="F16" s="18" t="str">
        <f>RAW_DATA!F16</f>
        <v>WH-E</v>
      </c>
      <c r="G16" s="18">
        <f>RAW_DATA!G16</f>
        <v>301</v>
      </c>
      <c r="H16" s="18">
        <f>RAW_DATA!H16</f>
        <v>301</v>
      </c>
      <c r="I16" s="24">
        <f>RAW_DATA!I16</f>
        <v>13.4</v>
      </c>
      <c r="J16" s="24">
        <f>RAW_DATA!J16</f>
        <v>9</v>
      </c>
      <c r="K16" s="18">
        <f>RAW_DATA!K16</f>
        <v>7</v>
      </c>
      <c r="L16" s="24">
        <f>RAW_DATA!L16</f>
        <v>4005.58</v>
      </c>
      <c r="M16" s="18">
        <f t="shared" si="0"/>
        <v>4</v>
      </c>
      <c r="N16" s="18" t="str">
        <f t="shared" si="1"/>
        <v>On Time</v>
      </c>
    </row>
    <row r="17" spans="1:14" hidden="1" x14ac:dyDescent="0.3">
      <c r="A17" s="13" t="str">
        <f>RAW_DATA!A17</f>
        <v>ORD-0016</v>
      </c>
      <c r="B17" s="14">
        <v>45270</v>
      </c>
      <c r="C17" s="14">
        <v>45274</v>
      </c>
      <c r="D17" s="15" t="s">
        <v>572</v>
      </c>
      <c r="E17" s="15" t="s">
        <v>575</v>
      </c>
      <c r="F17" s="15" t="str">
        <f>RAW_DATA!F17</f>
        <v>WH-D</v>
      </c>
      <c r="G17" s="15">
        <f>RAW_DATA!G17</f>
        <v>284</v>
      </c>
      <c r="H17" s="15">
        <f>RAW_DATA!H17</f>
        <v>284</v>
      </c>
      <c r="I17" s="23">
        <f>RAW_DATA!I17</f>
        <v>14.23</v>
      </c>
      <c r="J17" s="23">
        <f>RAW_DATA!J17</f>
        <v>8.01</v>
      </c>
      <c r="K17" s="15">
        <f>RAW_DATA!K17</f>
        <v>5</v>
      </c>
      <c r="L17" s="23">
        <f>RAW_DATA!L17</f>
        <v>2076.0700000000002</v>
      </c>
      <c r="M17" s="15">
        <f t="shared" si="0"/>
        <v>4</v>
      </c>
      <c r="N17" s="15" t="str">
        <f t="shared" si="1"/>
        <v>On Time</v>
      </c>
    </row>
    <row r="18" spans="1:14" hidden="1" x14ac:dyDescent="0.3">
      <c r="A18" s="16" t="str">
        <f>RAW_DATA!A18</f>
        <v>ORD-0017</v>
      </c>
      <c r="B18" s="17">
        <v>44930</v>
      </c>
      <c r="C18" s="17">
        <v>44931</v>
      </c>
      <c r="D18" s="18" t="s">
        <v>572</v>
      </c>
      <c r="E18" s="18" t="s">
        <v>577</v>
      </c>
      <c r="F18" s="18" t="str">
        <f>RAW_DATA!F18</f>
        <v>WH-B</v>
      </c>
      <c r="G18" s="18">
        <f>RAW_DATA!G18</f>
        <v>137</v>
      </c>
      <c r="H18" s="18">
        <f>RAW_DATA!H18</f>
        <v>137</v>
      </c>
      <c r="I18" s="24">
        <f>RAW_DATA!I18</f>
        <v>4.91</v>
      </c>
      <c r="J18" s="24">
        <f>RAW_DATA!J18</f>
        <v>3.02</v>
      </c>
      <c r="K18" s="18">
        <f>RAW_DATA!K18</f>
        <v>5</v>
      </c>
      <c r="L18" s="24">
        <f>RAW_DATA!L18</f>
        <v>500</v>
      </c>
      <c r="M18" s="18">
        <f t="shared" si="0"/>
        <v>1</v>
      </c>
      <c r="N18" s="18" t="str">
        <f t="shared" si="1"/>
        <v>On Time</v>
      </c>
    </row>
    <row r="19" spans="1:14" hidden="1" x14ac:dyDescent="0.3">
      <c r="A19" s="13" t="str">
        <f>RAW_DATA!A19</f>
        <v>ORD-0018</v>
      </c>
      <c r="B19" s="14">
        <v>45203</v>
      </c>
      <c r="C19" s="14">
        <v>45206</v>
      </c>
      <c r="D19" s="15" t="s">
        <v>579</v>
      </c>
      <c r="E19" s="15" t="s">
        <v>576</v>
      </c>
      <c r="F19" s="15" t="str">
        <f>RAW_DATA!F19</f>
        <v>WH-B</v>
      </c>
      <c r="G19" s="15">
        <f>RAW_DATA!G19</f>
        <v>315</v>
      </c>
      <c r="H19" s="15">
        <f>RAW_DATA!H19</f>
        <v>315</v>
      </c>
      <c r="I19" s="23">
        <f>RAW_DATA!I19</f>
        <v>25.42</v>
      </c>
      <c r="J19" s="23">
        <f>RAW_DATA!J19</f>
        <v>18.09</v>
      </c>
      <c r="K19" s="15">
        <f>RAW_DATA!K19</f>
        <v>3</v>
      </c>
      <c r="L19" s="23">
        <f>RAW_DATA!L19</f>
        <v>5779.53</v>
      </c>
      <c r="M19" s="15">
        <f t="shared" si="0"/>
        <v>3</v>
      </c>
      <c r="N19" s="15" t="str">
        <f t="shared" si="1"/>
        <v>On Time</v>
      </c>
    </row>
    <row r="20" spans="1:14" hidden="1" x14ac:dyDescent="0.3">
      <c r="A20" s="16" t="str">
        <f>RAW_DATA!A20</f>
        <v>ORD-0019</v>
      </c>
      <c r="B20" s="17">
        <v>45143</v>
      </c>
      <c r="C20" s="17">
        <v>45144</v>
      </c>
      <c r="D20" s="18" t="s">
        <v>569</v>
      </c>
      <c r="E20" s="18" t="s">
        <v>576</v>
      </c>
      <c r="F20" s="18" t="str">
        <f>RAW_DATA!F20</f>
        <v>WH-C</v>
      </c>
      <c r="G20" s="18">
        <f>RAW_DATA!G20</f>
        <v>364</v>
      </c>
      <c r="H20" s="18">
        <f>RAW_DATA!H20</f>
        <v>364</v>
      </c>
      <c r="I20" s="24">
        <f>RAW_DATA!I20</f>
        <v>23.75</v>
      </c>
      <c r="J20" s="24">
        <f>RAW_DATA!J20</f>
        <v>13.35</v>
      </c>
      <c r="K20" s="18">
        <f>RAW_DATA!K20</f>
        <v>4</v>
      </c>
      <c r="L20" s="24">
        <f>RAW_DATA!L20</f>
        <v>6496.67</v>
      </c>
      <c r="M20" s="18">
        <f t="shared" si="0"/>
        <v>1</v>
      </c>
      <c r="N20" s="18" t="str">
        <f t="shared" si="1"/>
        <v>On Time</v>
      </c>
    </row>
    <row r="21" spans="1:14" hidden="1" x14ac:dyDescent="0.3">
      <c r="A21" s="13" t="str">
        <f>RAW_DATA!A21</f>
        <v>ORD-0020</v>
      </c>
      <c r="B21" s="14">
        <v>45024</v>
      </c>
      <c r="C21" s="14">
        <v>45026</v>
      </c>
      <c r="D21" s="15" t="s">
        <v>569</v>
      </c>
      <c r="E21" s="15" t="s">
        <v>574</v>
      </c>
      <c r="F21" s="15" t="str">
        <f>RAW_DATA!F21</f>
        <v>WH-B</v>
      </c>
      <c r="G21" s="15">
        <f>RAW_DATA!G21</f>
        <v>236</v>
      </c>
      <c r="H21" s="15">
        <f>RAW_DATA!H21</f>
        <v>236</v>
      </c>
      <c r="I21" s="23">
        <f>RAW_DATA!I21</f>
        <v>8.6199999999999992</v>
      </c>
      <c r="J21" s="23">
        <f>RAW_DATA!J21</f>
        <v>6.25</v>
      </c>
      <c r="K21" s="15">
        <f>RAW_DATA!K21</f>
        <v>4</v>
      </c>
      <c r="L21" s="23">
        <f>RAW_DATA!L21</f>
        <v>1394.22</v>
      </c>
      <c r="M21" s="15">
        <f t="shared" si="0"/>
        <v>2</v>
      </c>
      <c r="N21" s="15" t="str">
        <f t="shared" si="1"/>
        <v>On Time</v>
      </c>
    </row>
    <row r="22" spans="1:14" hidden="1" x14ac:dyDescent="0.3">
      <c r="A22" s="16" t="str">
        <f>RAW_DATA!A22</f>
        <v>ORD-0021</v>
      </c>
      <c r="B22" s="17">
        <v>44934</v>
      </c>
      <c r="C22" s="17">
        <v>44940</v>
      </c>
      <c r="D22" s="18" t="s">
        <v>569</v>
      </c>
      <c r="E22" s="18" t="s">
        <v>573</v>
      </c>
      <c r="F22" s="18" t="str">
        <f>RAW_DATA!F22</f>
        <v>WH-E</v>
      </c>
      <c r="G22" s="18">
        <f>RAW_DATA!G22</f>
        <v>105</v>
      </c>
      <c r="H22" s="18">
        <f>RAW_DATA!H22</f>
        <v>105</v>
      </c>
      <c r="I22" s="24">
        <f>RAW_DATA!I22</f>
        <v>13.07</v>
      </c>
      <c r="J22" s="24">
        <f>RAW_DATA!J22</f>
        <v>9.4499999999999993</v>
      </c>
      <c r="K22" s="18">
        <f>RAW_DATA!K22</f>
        <v>4</v>
      </c>
      <c r="L22" s="24">
        <f>RAW_DATA!L22</f>
        <v>1430.29</v>
      </c>
      <c r="M22" s="18">
        <f t="shared" si="0"/>
        <v>6</v>
      </c>
      <c r="N22" s="18" t="str">
        <f t="shared" si="1"/>
        <v>Late</v>
      </c>
    </row>
    <row r="23" spans="1:14" hidden="1" x14ac:dyDescent="0.3">
      <c r="A23" s="13" t="str">
        <f>RAW_DATA!A23</f>
        <v>ORD-0022</v>
      </c>
      <c r="B23" s="14">
        <v>45126</v>
      </c>
      <c r="C23" s="14">
        <v>45128</v>
      </c>
      <c r="D23" s="15" t="s">
        <v>198</v>
      </c>
      <c r="E23" s="15" t="s">
        <v>576</v>
      </c>
      <c r="F23" s="15" t="str">
        <f>RAW_DATA!F23</f>
        <v>WH-A</v>
      </c>
      <c r="G23" s="15">
        <f>RAW_DATA!G23</f>
        <v>166</v>
      </c>
      <c r="H23" s="15">
        <f>RAW_DATA!H23</f>
        <v>166</v>
      </c>
      <c r="I23" s="23">
        <f>RAW_DATA!I23</f>
        <v>27.49</v>
      </c>
      <c r="J23" s="23">
        <f>RAW_DATA!J23</f>
        <v>20.59</v>
      </c>
      <c r="K23" s="15">
        <f>RAW_DATA!K23</f>
        <v>2</v>
      </c>
      <c r="L23" s="23">
        <f>RAW_DATA!L23</f>
        <v>4215.8999999999996</v>
      </c>
      <c r="M23" s="15">
        <f t="shared" si="0"/>
        <v>2</v>
      </c>
      <c r="N23" s="15" t="str">
        <f t="shared" si="1"/>
        <v>On Time</v>
      </c>
    </row>
    <row r="24" spans="1:14" x14ac:dyDescent="0.3">
      <c r="A24" s="16" t="str">
        <f>RAW_DATA!A24</f>
        <v>ORD-0023</v>
      </c>
      <c r="B24" s="17">
        <v>45078</v>
      </c>
      <c r="C24" s="17">
        <v>45079</v>
      </c>
      <c r="D24" s="18" t="s">
        <v>570</v>
      </c>
      <c r="E24" s="18" t="s">
        <v>574</v>
      </c>
      <c r="F24" s="18" t="str">
        <f>RAW_DATA!F24</f>
        <v>WH-B</v>
      </c>
      <c r="G24" s="18">
        <f>RAW_DATA!G24</f>
        <v>316</v>
      </c>
      <c r="H24" s="18">
        <f>RAW_DATA!H24</f>
        <v>316</v>
      </c>
      <c r="I24" s="24">
        <f>RAW_DATA!I24</f>
        <v>6.69</v>
      </c>
      <c r="J24" s="24">
        <f>RAW_DATA!J24</f>
        <v>4.0999999999999996</v>
      </c>
      <c r="K24" s="18">
        <f>RAW_DATA!K24</f>
        <v>7</v>
      </c>
      <c r="L24" s="25">
        <f>RAW_DATA!L24</f>
        <v>0</v>
      </c>
      <c r="M24" s="18">
        <f t="shared" si="0"/>
        <v>1</v>
      </c>
      <c r="N24" s="18" t="str">
        <f t="shared" si="1"/>
        <v>On Time</v>
      </c>
    </row>
    <row r="25" spans="1:14" x14ac:dyDescent="0.3">
      <c r="A25" s="13" t="str">
        <f>RAW_DATA!A25</f>
        <v>ORD-0024</v>
      </c>
      <c r="B25" s="14">
        <v>45007</v>
      </c>
      <c r="C25" s="14">
        <v>45012</v>
      </c>
      <c r="D25" s="15" t="s">
        <v>570</v>
      </c>
      <c r="E25" s="15" t="s">
        <v>577</v>
      </c>
      <c r="F25" s="15" t="str">
        <f>RAW_DATA!F25</f>
        <v>WH-E</v>
      </c>
      <c r="G25" s="15">
        <f>RAW_DATA!G25</f>
        <v>61</v>
      </c>
      <c r="H25" s="15">
        <f>RAW_DATA!H25</f>
        <v>61</v>
      </c>
      <c r="I25" s="23" t="str">
        <f>RAW_DATA!I25</f>
        <v>$5.05</v>
      </c>
      <c r="J25" s="23">
        <f>RAW_DATA!J25</f>
        <v>2.85</v>
      </c>
      <c r="K25" s="15">
        <f>RAW_DATA!K25</f>
        <v>7</v>
      </c>
      <c r="L25" s="23">
        <f>RAW_DATA!L25</f>
        <v>246.36</v>
      </c>
      <c r="M25" s="15">
        <f t="shared" si="0"/>
        <v>5</v>
      </c>
      <c r="N25" s="15" t="str">
        <f t="shared" si="1"/>
        <v>On Time</v>
      </c>
    </row>
    <row r="26" spans="1:14" hidden="1" x14ac:dyDescent="0.3">
      <c r="A26" s="16" t="str">
        <f>RAW_DATA!A26</f>
        <v>ORD-0025</v>
      </c>
      <c r="B26" s="17">
        <v>45053</v>
      </c>
      <c r="C26" s="17">
        <v>45054</v>
      </c>
      <c r="D26" s="18" t="s">
        <v>571</v>
      </c>
      <c r="E26" s="18" t="s">
        <v>573</v>
      </c>
      <c r="F26" s="18" t="str">
        <f>RAW_DATA!F26</f>
        <v>WH-E</v>
      </c>
      <c r="G26" s="18">
        <f>RAW_DATA!G26</f>
        <v>337</v>
      </c>
      <c r="H26" s="18">
        <f>RAW_DATA!H26</f>
        <v>337</v>
      </c>
      <c r="I26" s="24">
        <f>RAW_DATA!I26</f>
        <v>14.33</v>
      </c>
      <c r="J26" s="24">
        <f>RAW_DATA!J26</f>
        <v>9.5</v>
      </c>
      <c r="K26" s="18">
        <f>RAW_DATA!K26</f>
        <v>4</v>
      </c>
      <c r="L26" s="24">
        <f>RAW_DATA!L26</f>
        <v>3489.06</v>
      </c>
      <c r="M26" s="18">
        <f t="shared" si="0"/>
        <v>1</v>
      </c>
      <c r="N26" s="18" t="str">
        <f t="shared" si="1"/>
        <v>On Time</v>
      </c>
    </row>
    <row r="27" spans="1:14" hidden="1" x14ac:dyDescent="0.3">
      <c r="A27" s="13" t="str">
        <f>RAW_DATA!A27</f>
        <v>ORD-0026</v>
      </c>
      <c r="B27" s="14">
        <v>45049</v>
      </c>
      <c r="C27" s="14">
        <v>45050</v>
      </c>
      <c r="D27" s="15" t="s">
        <v>579</v>
      </c>
      <c r="E27" s="15" t="s">
        <v>574</v>
      </c>
      <c r="F27" s="15" t="str">
        <f>RAW_DATA!F27</f>
        <v>WH-C</v>
      </c>
      <c r="G27" s="15">
        <f>RAW_DATA!G27</f>
        <v>363</v>
      </c>
      <c r="H27" s="15">
        <f>RAW_DATA!H27</f>
        <v>363</v>
      </c>
      <c r="I27" s="23">
        <f>RAW_DATA!I27</f>
        <v>8.59</v>
      </c>
      <c r="J27" s="23">
        <f>RAW_DATA!J27</f>
        <v>6.32</v>
      </c>
      <c r="K27" s="15">
        <f>RAW_DATA!K27</f>
        <v>3</v>
      </c>
      <c r="L27" s="23">
        <f>RAW_DATA!L27</f>
        <v>3352.78</v>
      </c>
      <c r="M27" s="15">
        <f t="shared" si="0"/>
        <v>1</v>
      </c>
      <c r="N27" s="15" t="str">
        <f t="shared" si="1"/>
        <v>On Time</v>
      </c>
    </row>
    <row r="28" spans="1:14" hidden="1" x14ac:dyDescent="0.3">
      <c r="A28" s="16" t="str">
        <f>RAW_DATA!A28</f>
        <v>ORD-0027</v>
      </c>
      <c r="B28" s="17">
        <v>45215</v>
      </c>
      <c r="C28" s="17">
        <v>45219</v>
      </c>
      <c r="D28" s="18" t="s">
        <v>578</v>
      </c>
      <c r="E28" s="18" t="s">
        <v>576</v>
      </c>
      <c r="F28" s="18" t="str">
        <f>RAW_DATA!F28</f>
        <v>WH-E</v>
      </c>
      <c r="G28" s="18">
        <f>RAW_DATA!G28</f>
        <v>295</v>
      </c>
      <c r="H28" s="18">
        <f>RAW_DATA!H28</f>
        <v>295</v>
      </c>
      <c r="I28" s="24">
        <f>RAW_DATA!I28</f>
        <v>19.18</v>
      </c>
      <c r="J28" s="24">
        <f>RAW_DATA!J28</f>
        <v>14.13</v>
      </c>
      <c r="K28" s="18">
        <f>RAW_DATA!K28</f>
        <v>3</v>
      </c>
      <c r="L28" s="24">
        <f>RAW_DATA!L28</f>
        <v>5954.57</v>
      </c>
      <c r="M28" s="18">
        <f t="shared" si="0"/>
        <v>4</v>
      </c>
      <c r="N28" s="18" t="str">
        <f t="shared" si="1"/>
        <v>Late</v>
      </c>
    </row>
    <row r="29" spans="1:14" hidden="1" x14ac:dyDescent="0.3">
      <c r="A29" s="13" t="str">
        <f>RAW_DATA!A29</f>
        <v>ORD-0028</v>
      </c>
      <c r="B29" s="14">
        <v>45007</v>
      </c>
      <c r="C29" s="14">
        <v>45012</v>
      </c>
      <c r="D29" s="15" t="s">
        <v>572</v>
      </c>
      <c r="E29" s="15" t="s">
        <v>575</v>
      </c>
      <c r="F29" s="15" t="str">
        <f>RAW_DATA!F29</f>
        <v>WH-C</v>
      </c>
      <c r="G29" s="15">
        <f>RAW_DATA!G29</f>
        <v>380</v>
      </c>
      <c r="H29" s="15">
        <f>RAW_DATA!H29</f>
        <v>380</v>
      </c>
      <c r="I29" s="23">
        <f>RAW_DATA!I29</f>
        <v>20.85</v>
      </c>
      <c r="J29" s="23">
        <f>RAW_DATA!J29</f>
        <v>14.83</v>
      </c>
      <c r="K29" s="15">
        <f>RAW_DATA!K29</f>
        <v>5</v>
      </c>
      <c r="L29" s="23">
        <f>RAW_DATA!L29</f>
        <v>6860.34</v>
      </c>
      <c r="M29" s="15">
        <f t="shared" si="0"/>
        <v>5</v>
      </c>
      <c r="N29" s="15" t="str">
        <f t="shared" si="1"/>
        <v>On Time</v>
      </c>
    </row>
    <row r="30" spans="1:14" hidden="1" x14ac:dyDescent="0.3">
      <c r="A30" s="16" t="str">
        <f>RAW_DATA!A30</f>
        <v>ORD-0029</v>
      </c>
      <c r="B30" s="17">
        <v>45062</v>
      </c>
      <c r="C30" s="17">
        <v>45063</v>
      </c>
      <c r="D30" s="18" t="s">
        <v>579</v>
      </c>
      <c r="E30" s="18" t="s">
        <v>573</v>
      </c>
      <c r="F30" s="18" t="str">
        <f>RAW_DATA!F30</f>
        <v>WH-B</v>
      </c>
      <c r="G30" s="18">
        <f>RAW_DATA!G30</f>
        <v>400</v>
      </c>
      <c r="H30" s="18">
        <f>RAW_DATA!H30</f>
        <v>400</v>
      </c>
      <c r="I30" s="24">
        <f>RAW_DATA!I30</f>
        <v>11.56</v>
      </c>
      <c r="J30" s="24">
        <f>RAW_DATA!J30</f>
        <v>7.76</v>
      </c>
      <c r="K30" s="18">
        <f>RAW_DATA!K30</f>
        <v>3</v>
      </c>
      <c r="L30" s="24">
        <f>RAW_DATA!L30</f>
        <v>4130.08</v>
      </c>
      <c r="M30" s="18">
        <f t="shared" si="0"/>
        <v>1</v>
      </c>
      <c r="N30" s="18" t="str">
        <f t="shared" si="1"/>
        <v>On Time</v>
      </c>
    </row>
    <row r="31" spans="1:14" hidden="1" x14ac:dyDescent="0.3">
      <c r="A31" s="13" t="str">
        <f>RAW_DATA!A31</f>
        <v>ORD-0030</v>
      </c>
      <c r="B31" s="14">
        <v>45177</v>
      </c>
      <c r="C31" s="14">
        <v>45178</v>
      </c>
      <c r="D31" s="15" t="s">
        <v>572</v>
      </c>
      <c r="E31" s="15" t="s">
        <v>575</v>
      </c>
      <c r="F31" s="15" t="str">
        <f>RAW_DATA!F31</f>
        <v>WH-E</v>
      </c>
      <c r="G31" s="15">
        <f>RAW_DATA!G31</f>
        <v>67</v>
      </c>
      <c r="H31" s="15">
        <f>RAW_DATA!H31</f>
        <v>67</v>
      </c>
      <c r="I31" s="23">
        <f>RAW_DATA!I31</f>
        <v>19.46</v>
      </c>
      <c r="J31" s="23">
        <f>RAW_DATA!J31</f>
        <v>10.87</v>
      </c>
      <c r="K31" s="15">
        <f>RAW_DATA!K31</f>
        <v>5</v>
      </c>
      <c r="L31" s="23">
        <f>RAW_DATA!L31</f>
        <v>801.22</v>
      </c>
      <c r="M31" s="15">
        <f t="shared" si="0"/>
        <v>1</v>
      </c>
      <c r="N31" s="15" t="str">
        <f t="shared" si="1"/>
        <v>On Time</v>
      </c>
    </row>
    <row r="32" spans="1:14" hidden="1" x14ac:dyDescent="0.3">
      <c r="A32" s="16" t="str">
        <f>RAW_DATA!A32</f>
        <v>ORD-0031</v>
      </c>
      <c r="B32" s="17">
        <v>45153</v>
      </c>
      <c r="C32" s="17">
        <v>45155</v>
      </c>
      <c r="D32" s="18" t="s">
        <v>198</v>
      </c>
      <c r="E32" s="18" t="s">
        <v>575</v>
      </c>
      <c r="F32" s="18" t="str">
        <f>RAW_DATA!F32</f>
        <v>WH-B</v>
      </c>
      <c r="G32" s="18">
        <f>RAW_DATA!G32</f>
        <v>307</v>
      </c>
      <c r="H32" s="18">
        <f>RAW_DATA!H32</f>
        <v>223</v>
      </c>
      <c r="I32" s="24">
        <f>RAW_DATA!I32</f>
        <v>20.51</v>
      </c>
      <c r="J32" s="24">
        <f>RAW_DATA!J32</f>
        <v>14.12</v>
      </c>
      <c r="K32" s="18">
        <f>RAW_DATA!K32</f>
        <v>2</v>
      </c>
      <c r="L32" s="24">
        <f>RAW_DATA!L32</f>
        <v>4289.03</v>
      </c>
      <c r="M32" s="18">
        <f t="shared" si="0"/>
        <v>2</v>
      </c>
      <c r="N32" s="18" t="str">
        <f t="shared" si="1"/>
        <v>On Time</v>
      </c>
    </row>
    <row r="33" spans="1:14" hidden="1" x14ac:dyDescent="0.3">
      <c r="A33" s="13" t="str">
        <f>RAW_DATA!A33</f>
        <v>ORD-0032</v>
      </c>
      <c r="B33" s="14">
        <v>45209</v>
      </c>
      <c r="C33" s="14">
        <v>45210</v>
      </c>
      <c r="D33" s="15" t="s">
        <v>578</v>
      </c>
      <c r="E33" s="15" t="s">
        <v>575</v>
      </c>
      <c r="F33" s="15" t="str">
        <f>RAW_DATA!F33</f>
        <v>WH-E</v>
      </c>
      <c r="G33" s="15">
        <f>RAW_DATA!G33</f>
        <v>41</v>
      </c>
      <c r="H33" s="15">
        <f>RAW_DATA!H33</f>
        <v>41</v>
      </c>
      <c r="I33" s="23">
        <f>RAW_DATA!I33</f>
        <v>20.09</v>
      </c>
      <c r="J33" s="23">
        <f>RAW_DATA!J33</f>
        <v>14.25</v>
      </c>
      <c r="K33" s="15">
        <f>RAW_DATA!K33</f>
        <v>3</v>
      </c>
      <c r="L33" s="23">
        <f>RAW_DATA!L33</f>
        <v>827.54</v>
      </c>
      <c r="M33" s="15">
        <f t="shared" si="0"/>
        <v>1</v>
      </c>
      <c r="N33" s="15" t="str">
        <f t="shared" si="1"/>
        <v>On Time</v>
      </c>
    </row>
    <row r="34" spans="1:14" hidden="1" x14ac:dyDescent="0.3">
      <c r="A34" s="16" t="str">
        <f>RAW_DATA!A34</f>
        <v>ORD-0033</v>
      </c>
      <c r="B34" s="17">
        <v>45268</v>
      </c>
      <c r="C34" s="17">
        <v>45273</v>
      </c>
      <c r="D34" s="18" t="s">
        <v>211</v>
      </c>
      <c r="E34" s="18" t="s">
        <v>574</v>
      </c>
      <c r="F34" s="18" t="str">
        <f>RAW_DATA!F34</f>
        <v>WH-B</v>
      </c>
      <c r="G34" s="18">
        <f>RAW_DATA!G34</f>
        <v>228</v>
      </c>
      <c r="H34" s="18">
        <f>RAW_DATA!H34</f>
        <v>228</v>
      </c>
      <c r="I34" s="24">
        <f>RAW_DATA!I34</f>
        <v>10</v>
      </c>
      <c r="J34" s="24">
        <f>RAW_DATA!J34</f>
        <v>7.35</v>
      </c>
      <c r="K34" s="18">
        <f>RAW_DATA!K34</f>
        <v>6</v>
      </c>
      <c r="L34" s="24">
        <f>RAW_DATA!L34</f>
        <v>1746.25</v>
      </c>
      <c r="M34" s="18">
        <f t="shared" si="0"/>
        <v>5</v>
      </c>
      <c r="N34" s="18" t="str">
        <f t="shared" si="1"/>
        <v>On Time</v>
      </c>
    </row>
    <row r="35" spans="1:14" hidden="1" x14ac:dyDescent="0.3">
      <c r="A35" s="13" t="str">
        <f>RAW_DATA!A35</f>
        <v>ORD-0034</v>
      </c>
      <c r="B35" s="14">
        <v>44939</v>
      </c>
      <c r="C35" s="14">
        <v>44941</v>
      </c>
      <c r="D35" s="15" t="s">
        <v>198</v>
      </c>
      <c r="E35" s="15" t="s">
        <v>574</v>
      </c>
      <c r="F35" s="15" t="str">
        <f>RAW_DATA!F35</f>
        <v>WH-D</v>
      </c>
      <c r="G35" s="15">
        <f>RAW_DATA!G35</f>
        <v>230</v>
      </c>
      <c r="H35" s="15">
        <f>RAW_DATA!H35</f>
        <v>230</v>
      </c>
      <c r="I35" s="23">
        <f>RAW_DATA!I35</f>
        <v>10.55</v>
      </c>
      <c r="J35" s="23">
        <f>RAW_DATA!J35</f>
        <v>7.51</v>
      </c>
      <c r="K35" s="15">
        <f>RAW_DATA!K35</f>
        <v>2</v>
      </c>
      <c r="L35" s="23">
        <f>RAW_DATA!L35</f>
        <v>1831.08</v>
      </c>
      <c r="M35" s="15">
        <f t="shared" si="0"/>
        <v>2</v>
      </c>
      <c r="N35" s="15" t="str">
        <f t="shared" si="1"/>
        <v>On Time</v>
      </c>
    </row>
    <row r="36" spans="1:14" hidden="1" x14ac:dyDescent="0.3">
      <c r="A36" s="16" t="str">
        <f>RAW_DATA!A36</f>
        <v>ORD-0035</v>
      </c>
      <c r="B36" s="17">
        <v>45167</v>
      </c>
      <c r="C36" s="17">
        <v>45171</v>
      </c>
      <c r="D36" s="18" t="s">
        <v>569</v>
      </c>
      <c r="E36" s="18" t="s">
        <v>576</v>
      </c>
      <c r="F36" s="18" t="str">
        <f>RAW_DATA!F36</f>
        <v>WH-A</v>
      </c>
      <c r="G36" s="18">
        <f>RAW_DATA!G36</f>
        <v>199</v>
      </c>
      <c r="H36" s="18">
        <f>RAW_DATA!H36</f>
        <v>199</v>
      </c>
      <c r="I36" s="24">
        <f>RAW_DATA!I36</f>
        <v>25.54</v>
      </c>
      <c r="J36" s="24">
        <f>RAW_DATA!J36</f>
        <v>15.21</v>
      </c>
      <c r="K36" s="18">
        <f>RAW_DATA!K36</f>
        <v>4</v>
      </c>
      <c r="L36" s="24">
        <f>RAW_DATA!L36</f>
        <v>2767.09</v>
      </c>
      <c r="M36" s="18">
        <f t="shared" si="0"/>
        <v>4</v>
      </c>
      <c r="N36" s="18" t="str">
        <f t="shared" si="1"/>
        <v>On Time</v>
      </c>
    </row>
    <row r="37" spans="1:14" hidden="1" x14ac:dyDescent="0.3">
      <c r="A37" s="13" t="str">
        <f>RAW_DATA!A37</f>
        <v>ORD-0036</v>
      </c>
      <c r="B37" s="14">
        <v>45112</v>
      </c>
      <c r="C37" s="14">
        <v>45077</v>
      </c>
      <c r="D37" s="15" t="s">
        <v>572</v>
      </c>
      <c r="E37" s="15" t="s">
        <v>576</v>
      </c>
      <c r="F37" s="15" t="str">
        <f>RAW_DATA!F37</f>
        <v>WH-C</v>
      </c>
      <c r="G37" s="15">
        <f>RAW_DATA!G37</f>
        <v>199</v>
      </c>
      <c r="H37" s="15">
        <f>RAW_DATA!H37</f>
        <v>199</v>
      </c>
      <c r="I37" s="23">
        <f>RAW_DATA!I37</f>
        <v>20.8</v>
      </c>
      <c r="J37" s="23">
        <f>RAW_DATA!J37</f>
        <v>15.52</v>
      </c>
      <c r="K37" s="15">
        <f>RAW_DATA!K37</f>
        <v>5</v>
      </c>
      <c r="L37" s="23">
        <f>RAW_DATA!L37</f>
        <v>3773.29</v>
      </c>
      <c r="M37" s="15" t="s">
        <v>581</v>
      </c>
      <c r="N37" s="15" t="s">
        <v>583</v>
      </c>
    </row>
    <row r="38" spans="1:14" hidden="1" x14ac:dyDescent="0.3">
      <c r="A38" s="16" t="str">
        <f>RAW_DATA!A38</f>
        <v>ORD-0037</v>
      </c>
      <c r="B38" s="17">
        <v>45119</v>
      </c>
      <c r="C38" s="17">
        <v>45020</v>
      </c>
      <c r="D38" s="15" t="s">
        <v>578</v>
      </c>
      <c r="E38" s="18" t="s">
        <v>573</v>
      </c>
      <c r="F38" s="18" t="str">
        <f>RAW_DATA!F38</f>
        <v>WH-C</v>
      </c>
      <c r="G38" s="18">
        <f>RAW_DATA!G38</f>
        <v>39</v>
      </c>
      <c r="H38" s="18">
        <f>RAW_DATA!H38</f>
        <v>39</v>
      </c>
      <c r="I38" s="24">
        <f>RAW_DATA!I38</f>
        <v>12.73</v>
      </c>
      <c r="J38" s="24">
        <f>RAW_DATA!J38</f>
        <v>8.86</v>
      </c>
      <c r="K38" s="18">
        <f>RAW_DATA!K38</f>
        <v>3</v>
      </c>
      <c r="L38" s="24">
        <f>RAW_DATA!L38</f>
        <v>376.02</v>
      </c>
      <c r="M38" s="18" t="s">
        <v>581</v>
      </c>
      <c r="N38" s="18" t="s">
        <v>583</v>
      </c>
    </row>
    <row r="39" spans="1:14" hidden="1" x14ac:dyDescent="0.3">
      <c r="A39" s="13" t="str">
        <f>RAW_DATA!A39</f>
        <v>ORD-0038</v>
      </c>
      <c r="B39" s="14">
        <v>44995</v>
      </c>
      <c r="C39" s="14">
        <v>45028</v>
      </c>
      <c r="D39" s="15" t="s">
        <v>569</v>
      </c>
      <c r="E39" s="15" t="s">
        <v>576</v>
      </c>
      <c r="F39" s="15" t="str">
        <f>RAW_DATA!F39</f>
        <v>WH-E</v>
      </c>
      <c r="G39" s="15">
        <f>RAW_DATA!G39</f>
        <v>20</v>
      </c>
      <c r="H39" s="15">
        <f>RAW_DATA!H39</f>
        <v>20</v>
      </c>
      <c r="I39" s="23">
        <f>RAW_DATA!I39</f>
        <v>25.68</v>
      </c>
      <c r="J39" s="23">
        <f>RAW_DATA!J39</f>
        <v>17.649999999999999</v>
      </c>
      <c r="K39" s="15">
        <f>RAW_DATA!K39</f>
        <v>4</v>
      </c>
      <c r="L39" s="23">
        <f>RAW_DATA!L39</f>
        <v>516.85</v>
      </c>
      <c r="M39" s="15">
        <f t="shared" si="0"/>
        <v>33</v>
      </c>
      <c r="N39" s="15" t="str">
        <f t="shared" si="1"/>
        <v>Late</v>
      </c>
    </row>
    <row r="40" spans="1:14" hidden="1" x14ac:dyDescent="0.3">
      <c r="A40" s="16" t="str">
        <f>RAW_DATA!A40</f>
        <v>ORD-0039</v>
      </c>
      <c r="B40" s="17">
        <v>45182</v>
      </c>
      <c r="C40" s="17">
        <v>44970</v>
      </c>
      <c r="D40" s="18" t="s">
        <v>572</v>
      </c>
      <c r="E40" s="18" t="s">
        <v>575</v>
      </c>
      <c r="F40" s="18" t="str">
        <f>RAW_DATA!F40</f>
        <v>WH-D</v>
      </c>
      <c r="G40" s="18">
        <f>RAW_DATA!G40</f>
        <v>339</v>
      </c>
      <c r="H40" s="18">
        <f>RAW_DATA!H40</f>
        <v>339</v>
      </c>
      <c r="I40" s="24">
        <f>RAW_DATA!I40</f>
        <v>19.63</v>
      </c>
      <c r="J40" s="24">
        <f>RAW_DATA!J40</f>
        <v>13.62</v>
      </c>
      <c r="K40" s="18">
        <f>RAW_DATA!K40</f>
        <v>5</v>
      </c>
      <c r="L40" s="24">
        <f>RAW_DATA!L40</f>
        <v>4987.45</v>
      </c>
      <c r="M40" s="18" t="s">
        <v>581</v>
      </c>
      <c r="N40" s="18" t="s">
        <v>583</v>
      </c>
    </row>
    <row r="41" spans="1:14" hidden="1" x14ac:dyDescent="0.3">
      <c r="A41" s="13" t="str">
        <f>RAW_DATA!A41</f>
        <v>ORD-0040</v>
      </c>
      <c r="B41" s="14">
        <v>44960</v>
      </c>
      <c r="C41" s="14">
        <v>45136</v>
      </c>
      <c r="D41" s="15" t="s">
        <v>579</v>
      </c>
      <c r="E41" s="15" t="s">
        <v>576</v>
      </c>
      <c r="F41" s="15" t="str">
        <f>RAW_DATA!F41</f>
        <v>WH-C</v>
      </c>
      <c r="G41" s="15">
        <f>RAW_DATA!G41</f>
        <v>85</v>
      </c>
      <c r="H41" s="15">
        <f>RAW_DATA!H41</f>
        <v>85</v>
      </c>
      <c r="I41" s="23">
        <f>RAW_DATA!I41</f>
        <v>23.98</v>
      </c>
      <c r="J41" s="23">
        <f>RAW_DATA!J41</f>
        <v>15.01</v>
      </c>
      <c r="K41" s="15">
        <f>RAW_DATA!K41</f>
        <v>3</v>
      </c>
      <c r="L41" s="23">
        <f>RAW_DATA!L41</f>
        <v>1720.97</v>
      </c>
      <c r="M41" s="15">
        <f t="shared" si="0"/>
        <v>176</v>
      </c>
      <c r="N41" s="15" t="str">
        <f t="shared" si="1"/>
        <v>Late</v>
      </c>
    </row>
    <row r="42" spans="1:14" hidden="1" x14ac:dyDescent="0.3">
      <c r="A42" s="16" t="str">
        <f>RAW_DATA!A42</f>
        <v>ORD-0041</v>
      </c>
      <c r="B42" s="17">
        <v>44950</v>
      </c>
      <c r="C42" s="17">
        <v>45082</v>
      </c>
      <c r="D42" s="18" t="s">
        <v>198</v>
      </c>
      <c r="E42" s="18" t="s">
        <v>577</v>
      </c>
      <c r="F42" s="18" t="str">
        <f>RAW_DATA!F42</f>
        <v>WH-E</v>
      </c>
      <c r="G42" s="18">
        <f>RAW_DATA!G42</f>
        <v>175</v>
      </c>
      <c r="H42" s="18">
        <f>RAW_DATA!H42</f>
        <v>175</v>
      </c>
      <c r="I42" s="24">
        <f>RAW_DATA!I42</f>
        <v>6.35</v>
      </c>
      <c r="J42" s="24">
        <f>RAW_DATA!J42</f>
        <v>4.2300000000000004</v>
      </c>
      <c r="K42" s="18">
        <f>RAW_DATA!K42</f>
        <v>2</v>
      </c>
      <c r="L42" s="24">
        <f>RAW_DATA!L42</f>
        <v>957.01</v>
      </c>
      <c r="M42" s="18">
        <f t="shared" si="0"/>
        <v>132</v>
      </c>
      <c r="N42" s="18" t="str">
        <f t="shared" si="1"/>
        <v>Late</v>
      </c>
    </row>
    <row r="43" spans="1:14" x14ac:dyDescent="0.3">
      <c r="A43" s="13" t="str">
        <f>RAW_DATA!A43</f>
        <v>ORD-0042</v>
      </c>
      <c r="B43" s="14">
        <v>45204</v>
      </c>
      <c r="C43" s="14">
        <v>45276</v>
      </c>
      <c r="D43" s="15" t="s">
        <v>570</v>
      </c>
      <c r="E43" s="15" t="s">
        <v>576</v>
      </c>
      <c r="F43" s="15" t="str">
        <f>RAW_DATA!F43</f>
        <v>WH-D</v>
      </c>
      <c r="G43" s="15">
        <f>RAW_DATA!G43</f>
        <v>396</v>
      </c>
      <c r="H43" s="15">
        <f>RAW_DATA!H43</f>
        <v>396</v>
      </c>
      <c r="I43" s="23">
        <f>RAW_DATA!I43</f>
        <v>17.02</v>
      </c>
      <c r="J43" s="23">
        <f>RAW_DATA!J43</f>
        <v>11.12</v>
      </c>
      <c r="K43" s="15">
        <f>RAW_DATA!K43</f>
        <v>7</v>
      </c>
      <c r="L43" s="23">
        <f>RAW_DATA!L43</f>
        <v>5635.47</v>
      </c>
      <c r="M43" s="15">
        <f t="shared" si="0"/>
        <v>72</v>
      </c>
      <c r="N43" s="15" t="str">
        <f t="shared" si="1"/>
        <v>Late</v>
      </c>
    </row>
    <row r="44" spans="1:14" hidden="1" x14ac:dyDescent="0.3">
      <c r="A44" s="16" t="str">
        <f>RAW_DATA!A44</f>
        <v>ORD-0043</v>
      </c>
      <c r="B44" s="17">
        <v>45279</v>
      </c>
      <c r="C44" s="17">
        <v>45273</v>
      </c>
      <c r="D44" s="18" t="s">
        <v>211</v>
      </c>
      <c r="E44" s="18" t="s">
        <v>573</v>
      </c>
      <c r="F44" s="18" t="str">
        <f>RAW_DATA!F44</f>
        <v>WH-B</v>
      </c>
      <c r="G44" s="18">
        <f>RAW_DATA!G44</f>
        <v>95</v>
      </c>
      <c r="H44" s="18">
        <f>RAW_DATA!H44</f>
        <v>73</v>
      </c>
      <c r="I44" s="24">
        <f>RAW_DATA!I44</f>
        <v>16.68</v>
      </c>
      <c r="J44" s="24">
        <f>RAW_DATA!J44</f>
        <v>11.21</v>
      </c>
      <c r="K44" s="18">
        <f>RAW_DATA!K44</f>
        <v>6</v>
      </c>
      <c r="L44" s="24">
        <f>RAW_DATA!L44</f>
        <v>1449.5</v>
      </c>
      <c r="M44" s="18" t="s">
        <v>581</v>
      </c>
      <c r="N44" s="18" t="s">
        <v>583</v>
      </c>
    </row>
    <row r="45" spans="1:14" x14ac:dyDescent="0.3">
      <c r="A45" s="13" t="str">
        <f>RAW_DATA!A45</f>
        <v>ORD-0044</v>
      </c>
      <c r="B45" s="14">
        <v>45264</v>
      </c>
      <c r="C45" s="14">
        <v>45030</v>
      </c>
      <c r="D45" s="15" t="s">
        <v>570</v>
      </c>
      <c r="E45" s="15" t="s">
        <v>576</v>
      </c>
      <c r="F45" s="15" t="str">
        <f>RAW_DATA!F45</f>
        <v>WH-E</v>
      </c>
      <c r="G45" s="15">
        <f>RAW_DATA!G45</f>
        <v>273</v>
      </c>
      <c r="H45" s="15">
        <f>RAW_DATA!H45</f>
        <v>273</v>
      </c>
      <c r="I45" s="23">
        <f>RAW_DATA!I45</f>
        <v>17.77</v>
      </c>
      <c r="J45" s="23">
        <f>RAW_DATA!J45</f>
        <v>12.22</v>
      </c>
      <c r="K45" s="15">
        <f>RAW_DATA!K45</f>
        <v>7</v>
      </c>
      <c r="L45" s="26">
        <f>RAW_DATA!L45</f>
        <v>0</v>
      </c>
      <c r="M45" s="15" t="s">
        <v>581</v>
      </c>
      <c r="N45" s="15" t="s">
        <v>583</v>
      </c>
    </row>
    <row r="46" spans="1:14" hidden="1" x14ac:dyDescent="0.3">
      <c r="A46" s="16" t="str">
        <f>RAW_DATA!A46</f>
        <v>ORD-0045</v>
      </c>
      <c r="B46" s="17">
        <v>45017</v>
      </c>
      <c r="C46" s="17">
        <v>45021</v>
      </c>
      <c r="D46" s="18" t="s">
        <v>569</v>
      </c>
      <c r="E46" s="18" t="s">
        <v>576</v>
      </c>
      <c r="F46" s="18" t="str">
        <f>RAW_DATA!F46</f>
        <v>WH-B</v>
      </c>
      <c r="G46" s="18">
        <f>RAW_DATA!G46</f>
        <v>45</v>
      </c>
      <c r="H46" s="18">
        <f>RAW_DATA!H46</f>
        <v>45</v>
      </c>
      <c r="I46" s="24">
        <f>RAW_DATA!I46</f>
        <v>27.01</v>
      </c>
      <c r="J46" s="24">
        <f>RAW_DATA!J46</f>
        <v>15.51</v>
      </c>
      <c r="K46" s="18">
        <f>RAW_DATA!K46</f>
        <v>4</v>
      </c>
      <c r="L46" s="24">
        <f>RAW_DATA!L46</f>
        <v>683.99</v>
      </c>
      <c r="M46" s="18">
        <f t="shared" si="0"/>
        <v>4</v>
      </c>
      <c r="N46" s="18" t="str">
        <f t="shared" si="1"/>
        <v>On Time</v>
      </c>
    </row>
    <row r="47" spans="1:14" x14ac:dyDescent="0.3">
      <c r="A47" s="13" t="str">
        <f>RAW_DATA!A47</f>
        <v>ORD-0046</v>
      </c>
      <c r="B47" s="14">
        <v>45231</v>
      </c>
      <c r="C47" s="14">
        <v>45238</v>
      </c>
      <c r="D47" s="15" t="s">
        <v>570</v>
      </c>
      <c r="E47" s="15" t="s">
        <v>577</v>
      </c>
      <c r="F47" s="15" t="str">
        <f>RAW_DATA!F47</f>
        <v>WH-E</v>
      </c>
      <c r="G47" s="15">
        <f>RAW_DATA!G47</f>
        <v>246</v>
      </c>
      <c r="H47" s="15">
        <f>RAW_DATA!H47</f>
        <v>246</v>
      </c>
      <c r="I47" s="23">
        <f>RAW_DATA!I47</f>
        <v>7.39</v>
      </c>
      <c r="J47" s="23">
        <f>RAW_DATA!J47</f>
        <v>4.8099999999999996</v>
      </c>
      <c r="K47" s="15">
        <f>RAW_DATA!K47</f>
        <v>7</v>
      </c>
      <c r="L47" s="23">
        <f>RAW_DATA!L47</f>
        <v>1654.6</v>
      </c>
      <c r="M47" s="15">
        <f t="shared" si="0"/>
        <v>7</v>
      </c>
      <c r="N47" s="15" t="str">
        <f t="shared" si="1"/>
        <v>On Time</v>
      </c>
    </row>
    <row r="48" spans="1:14" x14ac:dyDescent="0.3">
      <c r="A48" s="16" t="str">
        <f>RAW_DATA!A48</f>
        <v>ORD-0047</v>
      </c>
      <c r="B48" s="17">
        <v>45157</v>
      </c>
      <c r="C48" s="17">
        <v>45159</v>
      </c>
      <c r="D48" s="18" t="s">
        <v>570</v>
      </c>
      <c r="E48" s="18" t="s">
        <v>574</v>
      </c>
      <c r="F48" s="18" t="str">
        <f>RAW_DATA!F48</f>
        <v>WH-D</v>
      </c>
      <c r="G48" s="19">
        <f>RAW_DATA!G48</f>
        <v>9999</v>
      </c>
      <c r="H48" s="19">
        <f>RAW_DATA!H48</f>
        <v>9999</v>
      </c>
      <c r="I48" s="24">
        <f>RAW_DATA!I48</f>
        <v>10.130000000000001</v>
      </c>
      <c r="J48" s="24">
        <f>RAW_DATA!J48</f>
        <v>6.55</v>
      </c>
      <c r="K48" s="18">
        <f>RAW_DATA!K48</f>
        <v>7</v>
      </c>
      <c r="L48" s="24">
        <f>RAW_DATA!L48</f>
        <v>2364.9899999999998</v>
      </c>
      <c r="M48" s="18">
        <f t="shared" si="0"/>
        <v>2</v>
      </c>
      <c r="N48" s="18" t="str">
        <f t="shared" si="1"/>
        <v>On Time</v>
      </c>
    </row>
    <row r="49" spans="1:14" x14ac:dyDescent="0.3">
      <c r="A49" s="13" t="str">
        <f>RAW_DATA!A49</f>
        <v>ORD-0048</v>
      </c>
      <c r="B49" s="14">
        <v>45047</v>
      </c>
      <c r="C49" s="14">
        <v>45050</v>
      </c>
      <c r="D49" s="15" t="s">
        <v>570</v>
      </c>
      <c r="E49" s="15" t="s">
        <v>573</v>
      </c>
      <c r="F49" s="15" t="str">
        <f>RAW_DATA!F49</f>
        <v>WH-C</v>
      </c>
      <c r="G49" s="15">
        <f>RAW_DATA!G49</f>
        <v>296</v>
      </c>
      <c r="H49" s="15">
        <f>RAW_DATA!H49</f>
        <v>296</v>
      </c>
      <c r="I49" s="23">
        <f>RAW_DATA!I49</f>
        <v>10.69</v>
      </c>
      <c r="J49" s="23">
        <f>RAW_DATA!J49</f>
        <v>6.7</v>
      </c>
      <c r="K49" s="15">
        <f>RAW_DATA!K49</f>
        <v>7</v>
      </c>
      <c r="L49" s="23">
        <f>RAW_DATA!L49</f>
        <v>1966.71</v>
      </c>
      <c r="M49" s="15">
        <f t="shared" si="0"/>
        <v>3</v>
      </c>
      <c r="N49" s="15" t="str">
        <f t="shared" si="1"/>
        <v>On Time</v>
      </c>
    </row>
    <row r="50" spans="1:14" hidden="1" x14ac:dyDescent="0.3">
      <c r="A50" s="16" t="str">
        <f>RAW_DATA!A50</f>
        <v>ORD-0049</v>
      </c>
      <c r="B50" s="17">
        <v>45135</v>
      </c>
      <c r="C50" s="17">
        <v>45139</v>
      </c>
      <c r="D50" s="18" t="s">
        <v>572</v>
      </c>
      <c r="E50" s="18" t="s">
        <v>573</v>
      </c>
      <c r="F50" s="18" t="str">
        <f>RAW_DATA!F50</f>
        <v>WH-D</v>
      </c>
      <c r="G50" s="18">
        <f>RAW_DATA!G50</f>
        <v>232</v>
      </c>
      <c r="H50" s="18">
        <f>RAW_DATA!H50</f>
        <v>232</v>
      </c>
      <c r="I50" s="24">
        <f>RAW_DATA!I50</f>
        <v>15.6</v>
      </c>
      <c r="J50" s="24">
        <f>RAW_DATA!J50</f>
        <v>9.8000000000000007</v>
      </c>
      <c r="K50" s="18">
        <f>RAW_DATA!K50</f>
        <v>5</v>
      </c>
      <c r="L50" s="24">
        <f>RAW_DATA!L50</f>
        <v>3096.36</v>
      </c>
      <c r="M50" s="18">
        <f t="shared" si="0"/>
        <v>4</v>
      </c>
      <c r="N50" s="18" t="str">
        <f t="shared" si="1"/>
        <v>On Time</v>
      </c>
    </row>
    <row r="51" spans="1:14" hidden="1" x14ac:dyDescent="0.3">
      <c r="A51" s="13" t="str">
        <f>RAW_DATA!A51</f>
        <v>ORD-0050</v>
      </c>
      <c r="B51" s="14">
        <v>45171</v>
      </c>
      <c r="C51" s="14">
        <v>45173</v>
      </c>
      <c r="D51" s="15" t="s">
        <v>578</v>
      </c>
      <c r="E51" s="15" t="s">
        <v>577</v>
      </c>
      <c r="F51" s="15" t="str">
        <f>RAW_DATA!F51</f>
        <v>WH-D</v>
      </c>
      <c r="G51" s="15">
        <f>RAW_DATA!G51</f>
        <v>172</v>
      </c>
      <c r="H51" s="15">
        <f>RAW_DATA!H51</f>
        <v>172</v>
      </c>
      <c r="I51" s="23">
        <f>RAW_DATA!I51</f>
        <v>7.87</v>
      </c>
      <c r="J51" s="23">
        <f>RAW_DATA!J51</f>
        <v>5.83</v>
      </c>
      <c r="K51" s="15">
        <f>RAW_DATA!K51</f>
        <v>3</v>
      </c>
      <c r="L51" s="23">
        <f>RAW_DATA!L51</f>
        <v>1154.5899999999999</v>
      </c>
      <c r="M51" s="15">
        <f t="shared" si="0"/>
        <v>2</v>
      </c>
      <c r="N51" s="15" t="str">
        <f t="shared" si="1"/>
        <v>On Time</v>
      </c>
    </row>
    <row r="52" spans="1:14" hidden="1" x14ac:dyDescent="0.3">
      <c r="A52" s="16" t="str">
        <f>RAW_DATA!A52</f>
        <v>ORD-0051</v>
      </c>
      <c r="B52" s="17">
        <v>45066</v>
      </c>
      <c r="C52" s="17">
        <v>45067</v>
      </c>
      <c r="D52" s="18" t="s">
        <v>572</v>
      </c>
      <c r="E52" s="18" t="s">
        <v>576</v>
      </c>
      <c r="F52" s="18" t="str">
        <f>RAW_DATA!F52</f>
        <v>WH-B</v>
      </c>
      <c r="G52" s="18">
        <f>RAW_DATA!G52</f>
        <v>219</v>
      </c>
      <c r="H52" s="18">
        <f>RAW_DATA!H52</f>
        <v>219</v>
      </c>
      <c r="I52" s="24">
        <f>RAW_DATA!I52</f>
        <v>24.15</v>
      </c>
      <c r="J52" s="24">
        <f>RAW_DATA!J52</f>
        <v>15.24</v>
      </c>
      <c r="K52" s="18">
        <f>RAW_DATA!K52</f>
        <v>5</v>
      </c>
      <c r="L52" s="24">
        <f>RAW_DATA!L52</f>
        <v>3334.31</v>
      </c>
      <c r="M52" s="18">
        <f t="shared" si="0"/>
        <v>1</v>
      </c>
      <c r="N52" s="18" t="str">
        <f t="shared" si="1"/>
        <v>On Time</v>
      </c>
    </row>
    <row r="53" spans="1:14" x14ac:dyDescent="0.3">
      <c r="A53" s="13" t="str">
        <f>RAW_DATA!A53</f>
        <v>ORD-0052</v>
      </c>
      <c r="B53" s="14">
        <v>45200</v>
      </c>
      <c r="C53" s="14">
        <v>45204</v>
      </c>
      <c r="D53" s="15" t="s">
        <v>570</v>
      </c>
      <c r="E53" s="15" t="s">
        <v>574</v>
      </c>
      <c r="F53" s="15" t="str">
        <f>RAW_DATA!F53</f>
        <v>WH-E</v>
      </c>
      <c r="G53" s="15">
        <f>RAW_DATA!G53</f>
        <v>323</v>
      </c>
      <c r="H53" s="15">
        <f>RAW_DATA!H53</f>
        <v>323</v>
      </c>
      <c r="I53" s="23">
        <f>RAW_DATA!I53</f>
        <v>6.53</v>
      </c>
      <c r="J53" s="23">
        <f>RAW_DATA!J53</f>
        <v>4.43</v>
      </c>
      <c r="K53" s="15">
        <f>RAW_DATA!K53</f>
        <v>7</v>
      </c>
      <c r="L53" s="23">
        <f>RAW_DATA!L53</f>
        <v>1404.3</v>
      </c>
      <c r="M53" s="15">
        <f t="shared" si="0"/>
        <v>4</v>
      </c>
      <c r="N53" s="15" t="str">
        <f t="shared" si="1"/>
        <v>On Time</v>
      </c>
    </row>
    <row r="54" spans="1:14" x14ac:dyDescent="0.3">
      <c r="A54" s="16" t="str">
        <f>RAW_DATA!A54</f>
        <v>ORD-0053</v>
      </c>
      <c r="B54" s="17">
        <v>45060</v>
      </c>
      <c r="C54" s="17">
        <v>45062</v>
      </c>
      <c r="D54" s="18" t="s">
        <v>570</v>
      </c>
      <c r="E54" s="18" t="s">
        <v>574</v>
      </c>
      <c r="F54" s="18" t="str">
        <f>RAW_DATA!F54</f>
        <v>WH-A</v>
      </c>
      <c r="G54" s="18">
        <f>RAW_DATA!G54</f>
        <v>252</v>
      </c>
      <c r="H54" s="18">
        <f>RAW_DATA!H54</f>
        <v>252</v>
      </c>
      <c r="I54" s="24">
        <f>RAW_DATA!I54</f>
        <v>10.050000000000001</v>
      </c>
      <c r="J54" s="24">
        <f>RAW_DATA!J54</f>
        <v>6.29</v>
      </c>
      <c r="K54" s="18">
        <f>RAW_DATA!K54</f>
        <v>7</v>
      </c>
      <c r="L54" s="24">
        <f>RAW_DATA!L54</f>
        <v>2141.77</v>
      </c>
      <c r="M54" s="18">
        <f t="shared" si="0"/>
        <v>2</v>
      </c>
      <c r="N54" s="18" t="str">
        <f t="shared" si="1"/>
        <v>On Time</v>
      </c>
    </row>
    <row r="55" spans="1:14" hidden="1" x14ac:dyDescent="0.3">
      <c r="A55" s="13" t="str">
        <f>RAW_DATA!A55</f>
        <v>ORD-0054</v>
      </c>
      <c r="B55" s="14">
        <v>45167</v>
      </c>
      <c r="C55" s="14">
        <v>45168</v>
      </c>
      <c r="D55" s="15" t="s">
        <v>571</v>
      </c>
      <c r="E55" s="15" t="s">
        <v>575</v>
      </c>
      <c r="F55" s="15" t="str">
        <f>RAW_DATA!F55</f>
        <v>WH-A</v>
      </c>
      <c r="G55" s="15">
        <f>RAW_DATA!G55</f>
        <v>199</v>
      </c>
      <c r="H55" s="15">
        <f>RAW_DATA!H55</f>
        <v>199</v>
      </c>
      <c r="I55" s="23">
        <f>RAW_DATA!I55</f>
        <v>12.62</v>
      </c>
      <c r="J55" s="23">
        <f>RAW_DATA!J55</f>
        <v>9.36</v>
      </c>
      <c r="K55" s="15">
        <f>RAW_DATA!K55</f>
        <v>4</v>
      </c>
      <c r="L55" s="23">
        <f>RAW_DATA!L55</f>
        <v>1721.37</v>
      </c>
      <c r="M55" s="15">
        <f t="shared" si="0"/>
        <v>1</v>
      </c>
      <c r="N55" s="15" t="str">
        <f t="shared" si="1"/>
        <v>On Time</v>
      </c>
    </row>
    <row r="56" spans="1:14" hidden="1" x14ac:dyDescent="0.3">
      <c r="A56" s="16" t="str">
        <f>RAW_DATA!A56</f>
        <v>ORD-0055</v>
      </c>
      <c r="B56" s="17">
        <v>44937</v>
      </c>
      <c r="C56" s="17">
        <v>44938</v>
      </c>
      <c r="D56" s="15" t="s">
        <v>578</v>
      </c>
      <c r="E56" s="18" t="s">
        <v>574</v>
      </c>
      <c r="F56" s="18" t="str">
        <f>RAW_DATA!F56</f>
        <v>WH-B</v>
      </c>
      <c r="G56" s="18">
        <f>RAW_DATA!G56</f>
        <v>84</v>
      </c>
      <c r="H56" s="18">
        <f>RAW_DATA!H56</f>
        <v>84</v>
      </c>
      <c r="I56" s="24">
        <f>RAW_DATA!I56</f>
        <v>6.95</v>
      </c>
      <c r="J56" s="24">
        <f>RAW_DATA!J56</f>
        <v>5.14</v>
      </c>
      <c r="K56" s="18">
        <f>RAW_DATA!K56</f>
        <v>3</v>
      </c>
      <c r="L56" s="24">
        <f>RAW_DATA!L56</f>
        <v>509.05</v>
      </c>
      <c r="M56" s="18">
        <f t="shared" si="0"/>
        <v>1</v>
      </c>
      <c r="N56" s="18" t="str">
        <f t="shared" si="1"/>
        <v>On Time</v>
      </c>
    </row>
    <row r="57" spans="1:14" hidden="1" x14ac:dyDescent="0.3">
      <c r="A57" s="13" t="str">
        <f>RAW_DATA!A57</f>
        <v>ORD-0056</v>
      </c>
      <c r="B57" s="14">
        <v>45237</v>
      </c>
      <c r="C57" s="14">
        <v>45240</v>
      </c>
      <c r="D57" s="15" t="s">
        <v>579</v>
      </c>
      <c r="E57" s="15" t="s">
        <v>575</v>
      </c>
      <c r="F57" s="15" t="str">
        <f>RAW_DATA!F57</f>
        <v>WH-B</v>
      </c>
      <c r="G57" s="15">
        <f>RAW_DATA!G57</f>
        <v>387</v>
      </c>
      <c r="H57" s="15">
        <f>RAW_DATA!H57</f>
        <v>387</v>
      </c>
      <c r="I57" s="23">
        <f>RAW_DATA!I57</f>
        <v>19.37</v>
      </c>
      <c r="J57" s="23">
        <f>RAW_DATA!J57</f>
        <v>14.39</v>
      </c>
      <c r="K57" s="15">
        <f>RAW_DATA!K57</f>
        <v>3</v>
      </c>
      <c r="L57" s="23">
        <f>RAW_DATA!L57</f>
        <v>5373.23</v>
      </c>
      <c r="M57" s="15">
        <f t="shared" si="0"/>
        <v>3</v>
      </c>
      <c r="N57" s="15" t="str">
        <f t="shared" si="1"/>
        <v>On Time</v>
      </c>
    </row>
    <row r="58" spans="1:14" hidden="1" x14ac:dyDescent="0.3">
      <c r="A58" s="16" t="str">
        <f>RAW_DATA!A58</f>
        <v>ORD-0057</v>
      </c>
      <c r="B58" s="17">
        <v>45273</v>
      </c>
      <c r="C58" s="17">
        <v>45280</v>
      </c>
      <c r="D58" s="15" t="s">
        <v>578</v>
      </c>
      <c r="E58" s="18" t="s">
        <v>575</v>
      </c>
      <c r="F58" s="18" t="str">
        <f>RAW_DATA!F58</f>
        <v>WH-E</v>
      </c>
      <c r="G58" s="18">
        <f>RAW_DATA!G58</f>
        <v>223</v>
      </c>
      <c r="H58" s="18">
        <f>RAW_DATA!H58</f>
        <v>223</v>
      </c>
      <c r="I58" s="24">
        <f>RAW_DATA!I58</f>
        <v>13.78</v>
      </c>
      <c r="J58" s="24">
        <f>RAW_DATA!J58</f>
        <v>9.2100000000000009</v>
      </c>
      <c r="K58" s="18">
        <f>RAW_DATA!K58</f>
        <v>3</v>
      </c>
      <c r="L58" s="24">
        <f>RAW_DATA!L58</f>
        <v>2871.96</v>
      </c>
      <c r="M58" s="18">
        <f t="shared" si="0"/>
        <v>7</v>
      </c>
      <c r="N58" s="18" t="str">
        <f t="shared" si="1"/>
        <v>Late</v>
      </c>
    </row>
    <row r="59" spans="1:14" hidden="1" x14ac:dyDescent="0.3">
      <c r="A59" s="13" t="str">
        <f>RAW_DATA!A59</f>
        <v>ORD-0058</v>
      </c>
      <c r="B59" s="14">
        <v>45277</v>
      </c>
      <c r="C59" s="14">
        <v>45278</v>
      </c>
      <c r="D59" s="15" t="s">
        <v>572</v>
      </c>
      <c r="E59" s="15" t="s">
        <v>573</v>
      </c>
      <c r="F59" s="15" t="str">
        <f>RAW_DATA!F59</f>
        <v>WH-C</v>
      </c>
      <c r="G59" s="15">
        <f>RAW_DATA!G59</f>
        <v>309</v>
      </c>
      <c r="H59" s="15">
        <f>RAW_DATA!H59</f>
        <v>309</v>
      </c>
      <c r="I59" s="23">
        <f>RAW_DATA!I59</f>
        <v>12.1</v>
      </c>
      <c r="J59" s="23">
        <f>RAW_DATA!J59</f>
        <v>7.69</v>
      </c>
      <c r="K59" s="15">
        <f>RAW_DATA!K59</f>
        <v>5</v>
      </c>
      <c r="L59" s="23">
        <f>RAW_DATA!L59</f>
        <v>2666.92</v>
      </c>
      <c r="M59" s="15">
        <f t="shared" si="0"/>
        <v>1</v>
      </c>
      <c r="N59" s="15" t="str">
        <f t="shared" si="1"/>
        <v>On Time</v>
      </c>
    </row>
    <row r="60" spans="1:14" hidden="1" x14ac:dyDescent="0.3">
      <c r="A60" s="16" t="str">
        <f>RAW_DATA!A60</f>
        <v>ORD-0059</v>
      </c>
      <c r="B60" s="17">
        <v>45177</v>
      </c>
      <c r="C60" s="17">
        <v>45180</v>
      </c>
      <c r="D60" s="18" t="s">
        <v>211</v>
      </c>
      <c r="E60" s="18" t="s">
        <v>573</v>
      </c>
      <c r="F60" s="19">
        <f>RAW_DATA!F60</f>
        <v>0</v>
      </c>
      <c r="G60" s="18">
        <f>RAW_DATA!G60</f>
        <v>345</v>
      </c>
      <c r="H60" s="18">
        <f>RAW_DATA!H60</f>
        <v>345</v>
      </c>
      <c r="I60" s="24">
        <f>RAW_DATA!I60</f>
        <v>12.91</v>
      </c>
      <c r="J60" s="24">
        <f>RAW_DATA!J60</f>
        <v>7.5</v>
      </c>
      <c r="K60" s="18">
        <f>RAW_DATA!K60</f>
        <v>6</v>
      </c>
      <c r="L60" s="24">
        <f>RAW_DATA!L60</f>
        <v>2602.1999999999998</v>
      </c>
      <c r="M60" s="18">
        <f t="shared" si="0"/>
        <v>3</v>
      </c>
      <c r="N60" s="18" t="str">
        <f t="shared" si="1"/>
        <v>On Time</v>
      </c>
    </row>
    <row r="61" spans="1:14" hidden="1" x14ac:dyDescent="0.3">
      <c r="A61" s="13" t="str">
        <f>RAW_DATA!A61</f>
        <v>ORD-0060</v>
      </c>
      <c r="B61" s="14">
        <v>45174</v>
      </c>
      <c r="C61" s="14">
        <v>45177</v>
      </c>
      <c r="D61" s="15" t="s">
        <v>579</v>
      </c>
      <c r="E61" s="15" t="s">
        <v>577</v>
      </c>
      <c r="F61" s="15" t="str">
        <f>RAW_DATA!F61</f>
        <v>WH-E</v>
      </c>
      <c r="G61" s="15">
        <f>RAW_DATA!G61</f>
        <v>323</v>
      </c>
      <c r="H61" s="15">
        <f>RAW_DATA!H61</f>
        <v>323</v>
      </c>
      <c r="I61" s="23">
        <f>RAW_DATA!I61</f>
        <v>7.87</v>
      </c>
      <c r="J61" s="23">
        <f>RAW_DATA!J61</f>
        <v>5.64</v>
      </c>
      <c r="K61" s="15">
        <f>RAW_DATA!K61</f>
        <v>3</v>
      </c>
      <c r="L61" s="23">
        <f>RAW_DATA!L61</f>
        <v>1734.27</v>
      </c>
      <c r="M61" s="15">
        <f t="shared" si="0"/>
        <v>3</v>
      </c>
      <c r="N61" s="15" t="str">
        <f t="shared" si="1"/>
        <v>On Time</v>
      </c>
    </row>
    <row r="62" spans="1:14" x14ac:dyDescent="0.3">
      <c r="A62" s="16" t="str">
        <f>RAW_DATA!A62</f>
        <v>ORD-0061</v>
      </c>
      <c r="B62" s="17">
        <v>45218</v>
      </c>
      <c r="C62" s="17">
        <v>45222</v>
      </c>
      <c r="D62" s="18" t="s">
        <v>570</v>
      </c>
      <c r="E62" s="18" t="s">
        <v>574</v>
      </c>
      <c r="F62" s="18" t="str">
        <f>RAW_DATA!F62</f>
        <v>WH-D</v>
      </c>
      <c r="G62" s="18">
        <f>RAW_DATA!G62</f>
        <v>192</v>
      </c>
      <c r="H62" s="18">
        <f>RAW_DATA!H62</f>
        <v>188</v>
      </c>
      <c r="I62" s="24" t="str">
        <f>RAW_DATA!I62</f>
        <v>$7.96</v>
      </c>
      <c r="J62" s="24">
        <f>RAW_DATA!J62</f>
        <v>5.15</v>
      </c>
      <c r="K62" s="18">
        <f>RAW_DATA!K62</f>
        <v>7</v>
      </c>
      <c r="L62" s="24">
        <f>RAW_DATA!L62</f>
        <v>1100.43</v>
      </c>
      <c r="M62" s="18">
        <f t="shared" si="0"/>
        <v>4</v>
      </c>
      <c r="N62" s="18" t="str">
        <f t="shared" si="1"/>
        <v>On Time</v>
      </c>
    </row>
    <row r="63" spans="1:14" hidden="1" x14ac:dyDescent="0.3">
      <c r="A63" s="13" t="str">
        <f>RAW_DATA!A63</f>
        <v>ORD-0062</v>
      </c>
      <c r="B63" s="14">
        <v>45232</v>
      </c>
      <c r="C63" s="14">
        <v>45234</v>
      </c>
      <c r="D63" s="15" t="s">
        <v>579</v>
      </c>
      <c r="E63" s="15" t="s">
        <v>575</v>
      </c>
      <c r="F63" s="15" t="str">
        <f>RAW_DATA!F63</f>
        <v>WH-C</v>
      </c>
      <c r="G63" s="15">
        <f>RAW_DATA!G63</f>
        <v>304</v>
      </c>
      <c r="H63" s="15">
        <f>RAW_DATA!H63</f>
        <v>236</v>
      </c>
      <c r="I63" s="23">
        <f>RAW_DATA!I63</f>
        <v>12.77</v>
      </c>
      <c r="J63" s="23">
        <f>RAW_DATA!J63</f>
        <v>8.86</v>
      </c>
      <c r="K63" s="15">
        <f>RAW_DATA!K63</f>
        <v>3</v>
      </c>
      <c r="L63" s="23">
        <f>RAW_DATA!L63</f>
        <v>3213.67</v>
      </c>
      <c r="M63" s="15">
        <f t="shared" si="0"/>
        <v>2</v>
      </c>
      <c r="N63" s="15" t="str">
        <f t="shared" si="1"/>
        <v>On Time</v>
      </c>
    </row>
    <row r="64" spans="1:14" hidden="1" x14ac:dyDescent="0.3">
      <c r="A64" s="16" t="str">
        <f>RAW_DATA!A64</f>
        <v>ORD-0063</v>
      </c>
      <c r="B64" s="17">
        <v>45156</v>
      </c>
      <c r="C64" s="17">
        <v>45157</v>
      </c>
      <c r="D64" s="18" t="s">
        <v>572</v>
      </c>
      <c r="E64" s="18" t="s">
        <v>576</v>
      </c>
      <c r="F64" s="18" t="str">
        <f>RAW_DATA!F64</f>
        <v>WH-D</v>
      </c>
      <c r="G64" s="18">
        <f>RAW_DATA!G64</f>
        <v>170</v>
      </c>
      <c r="H64" s="18">
        <f>RAW_DATA!H64</f>
        <v>170</v>
      </c>
      <c r="I64" s="24">
        <f>RAW_DATA!I64</f>
        <v>24.3</v>
      </c>
      <c r="J64" s="24">
        <f>RAW_DATA!J64</f>
        <v>14.85</v>
      </c>
      <c r="K64" s="18">
        <f>RAW_DATA!K64</f>
        <v>5</v>
      </c>
      <c r="L64" s="24">
        <f>RAW_DATA!L64</f>
        <v>3152.93</v>
      </c>
      <c r="M64" s="18">
        <f t="shared" si="0"/>
        <v>1</v>
      </c>
      <c r="N64" s="18" t="str">
        <f t="shared" si="1"/>
        <v>On Time</v>
      </c>
    </row>
    <row r="65" spans="1:14" x14ac:dyDescent="0.3">
      <c r="A65" s="13" t="str">
        <f>RAW_DATA!A65</f>
        <v>ORD-0064</v>
      </c>
      <c r="B65" s="14">
        <v>45103</v>
      </c>
      <c r="C65" s="14">
        <v>45109</v>
      </c>
      <c r="D65" s="15" t="s">
        <v>570</v>
      </c>
      <c r="E65" s="15" t="s">
        <v>577</v>
      </c>
      <c r="F65" s="15" t="str">
        <f>RAW_DATA!F65</f>
        <v>WH-E</v>
      </c>
      <c r="G65" s="20">
        <f>RAW_DATA!G65</f>
        <v>9999</v>
      </c>
      <c r="H65" s="20">
        <f>RAW_DATA!H65</f>
        <v>9999</v>
      </c>
      <c r="I65" s="23">
        <f>RAW_DATA!I65</f>
        <v>7.33</v>
      </c>
      <c r="J65" s="23">
        <f>RAW_DATA!J65</f>
        <v>4.43</v>
      </c>
      <c r="K65" s="15">
        <f>RAW_DATA!K65</f>
        <v>7</v>
      </c>
      <c r="L65" s="23">
        <f>RAW_DATA!L65</f>
        <v>1401.22</v>
      </c>
      <c r="M65" s="15">
        <f t="shared" si="0"/>
        <v>6</v>
      </c>
      <c r="N65" s="15" t="str">
        <f t="shared" si="1"/>
        <v>On Time</v>
      </c>
    </row>
    <row r="66" spans="1:14" hidden="1" x14ac:dyDescent="0.3">
      <c r="A66" s="16" t="str">
        <f>RAW_DATA!A66</f>
        <v>ORD-0065</v>
      </c>
      <c r="B66" s="17">
        <v>44988</v>
      </c>
      <c r="C66" s="17">
        <v>44990</v>
      </c>
      <c r="D66" s="18" t="s">
        <v>569</v>
      </c>
      <c r="E66" s="18" t="s">
        <v>574</v>
      </c>
      <c r="F66" s="18" t="str">
        <f>RAW_DATA!F66</f>
        <v>WH-C</v>
      </c>
      <c r="G66" s="18">
        <f>RAW_DATA!G66</f>
        <v>118</v>
      </c>
      <c r="H66" s="18">
        <f>RAW_DATA!H66</f>
        <v>118</v>
      </c>
      <c r="I66" s="24">
        <f>RAW_DATA!I66</f>
        <v>8.7200000000000006</v>
      </c>
      <c r="J66" s="24">
        <f>RAW_DATA!J66</f>
        <v>6.06</v>
      </c>
      <c r="K66" s="18">
        <f>RAW_DATA!K66</f>
        <v>4</v>
      </c>
      <c r="L66" s="24">
        <f>RAW_DATA!L66</f>
        <v>1062.58</v>
      </c>
      <c r="M66" s="18">
        <f t="shared" si="0"/>
        <v>2</v>
      </c>
      <c r="N66" s="18" t="str">
        <f t="shared" si="1"/>
        <v>On Time</v>
      </c>
    </row>
    <row r="67" spans="1:14" hidden="1" x14ac:dyDescent="0.3">
      <c r="A67" s="13" t="str">
        <f>RAW_DATA!A67</f>
        <v>ORD-0066</v>
      </c>
      <c r="B67" s="14">
        <v>45078</v>
      </c>
      <c r="C67" s="14">
        <v>45079</v>
      </c>
      <c r="D67" s="15" t="s">
        <v>579</v>
      </c>
      <c r="E67" s="15" t="s">
        <v>573</v>
      </c>
      <c r="F67" s="15" t="str">
        <f>RAW_DATA!F67</f>
        <v>WH-B</v>
      </c>
      <c r="G67" s="15">
        <f>RAW_DATA!G67</f>
        <v>174</v>
      </c>
      <c r="H67" s="15">
        <f>RAW_DATA!H67</f>
        <v>155</v>
      </c>
      <c r="I67" s="23">
        <f>RAW_DATA!I67</f>
        <v>10.51</v>
      </c>
      <c r="J67" s="23">
        <f>RAW_DATA!J67</f>
        <v>5.88</v>
      </c>
      <c r="K67" s="15">
        <f>RAW_DATA!K67</f>
        <v>3</v>
      </c>
      <c r="L67" s="23">
        <f>RAW_DATA!L67</f>
        <v>954.28</v>
      </c>
      <c r="M67" s="15">
        <f t="shared" ref="M67:M130" si="2">C67-B67</f>
        <v>1</v>
      </c>
      <c r="N67" s="15" t="str">
        <f t="shared" ref="N67:N130" si="3">IF(M67&lt;=K67,"On Time", "Late")</f>
        <v>On Time</v>
      </c>
    </row>
    <row r="68" spans="1:14" hidden="1" x14ac:dyDescent="0.3">
      <c r="A68" s="16" t="str">
        <f>RAW_DATA!A68</f>
        <v>ORD-0067</v>
      </c>
      <c r="B68" s="17">
        <v>44979</v>
      </c>
      <c r="C68" s="17">
        <v>44982</v>
      </c>
      <c r="D68" s="18" t="s">
        <v>579</v>
      </c>
      <c r="E68" s="18" t="s">
        <v>574</v>
      </c>
      <c r="F68" s="18" t="str">
        <f>RAW_DATA!F68</f>
        <v>WH-D</v>
      </c>
      <c r="G68" s="18">
        <f>RAW_DATA!G68</f>
        <v>165</v>
      </c>
      <c r="H68" s="18">
        <f>RAW_DATA!H68</f>
        <v>165</v>
      </c>
      <c r="I68" s="24">
        <f>RAW_DATA!I68</f>
        <v>8.51</v>
      </c>
      <c r="J68" s="24">
        <f>RAW_DATA!J68</f>
        <v>4.99</v>
      </c>
      <c r="K68" s="18">
        <f>RAW_DATA!K68</f>
        <v>3</v>
      </c>
      <c r="L68" s="24">
        <f>RAW_DATA!L68</f>
        <v>766.4</v>
      </c>
      <c r="M68" s="18">
        <f t="shared" si="2"/>
        <v>3</v>
      </c>
      <c r="N68" s="18" t="str">
        <f t="shared" si="3"/>
        <v>On Time</v>
      </c>
    </row>
    <row r="69" spans="1:14" x14ac:dyDescent="0.3">
      <c r="A69" s="13" t="str">
        <f>RAW_DATA!A69</f>
        <v>ORD-0068</v>
      </c>
      <c r="B69" s="14">
        <v>45132</v>
      </c>
      <c r="C69" s="14">
        <v>45137</v>
      </c>
      <c r="D69" s="15" t="s">
        <v>570</v>
      </c>
      <c r="E69" s="15" t="s">
        <v>573</v>
      </c>
      <c r="F69" s="15" t="str">
        <f>RAW_DATA!F69</f>
        <v>WH-A</v>
      </c>
      <c r="G69" s="15">
        <f>RAW_DATA!G69</f>
        <v>342</v>
      </c>
      <c r="H69" s="15">
        <f>RAW_DATA!H69</f>
        <v>342</v>
      </c>
      <c r="I69" s="23">
        <f>RAW_DATA!I69</f>
        <v>10.69</v>
      </c>
      <c r="J69" s="23">
        <f>RAW_DATA!J69</f>
        <v>7.61</v>
      </c>
      <c r="K69" s="15">
        <f>RAW_DATA!K69</f>
        <v>7</v>
      </c>
      <c r="L69" s="23">
        <f>RAW_DATA!L69</f>
        <v>3824.49</v>
      </c>
      <c r="M69" s="15">
        <f t="shared" si="2"/>
        <v>5</v>
      </c>
      <c r="N69" s="15" t="str">
        <f t="shared" si="3"/>
        <v>On Time</v>
      </c>
    </row>
    <row r="70" spans="1:14" hidden="1" x14ac:dyDescent="0.3">
      <c r="A70" s="16" t="str">
        <f>RAW_DATA!A70</f>
        <v>ORD-0069</v>
      </c>
      <c r="B70" s="17">
        <v>45212</v>
      </c>
      <c r="C70" s="17">
        <v>45214</v>
      </c>
      <c r="D70" s="18" t="s">
        <v>569</v>
      </c>
      <c r="E70" s="18" t="s">
        <v>574</v>
      </c>
      <c r="F70" s="18" t="str">
        <f>RAW_DATA!F70</f>
        <v>WH-A</v>
      </c>
      <c r="G70" s="18">
        <f>RAW_DATA!G70</f>
        <v>287</v>
      </c>
      <c r="H70" s="18">
        <f>RAW_DATA!H70</f>
        <v>287</v>
      </c>
      <c r="I70" s="24">
        <f>RAW_DATA!I70</f>
        <v>10.76</v>
      </c>
      <c r="J70" s="24">
        <f>RAW_DATA!J70</f>
        <v>6.56</v>
      </c>
      <c r="K70" s="18">
        <f>RAW_DATA!K70</f>
        <v>4</v>
      </c>
      <c r="L70" s="24">
        <f>RAW_DATA!L70</f>
        <v>2359.2600000000002</v>
      </c>
      <c r="M70" s="18">
        <f t="shared" si="2"/>
        <v>2</v>
      </c>
      <c r="N70" s="18" t="str">
        <f t="shared" si="3"/>
        <v>On Time</v>
      </c>
    </row>
    <row r="71" spans="1:14" hidden="1" x14ac:dyDescent="0.3">
      <c r="A71" s="13" t="str">
        <f>RAW_DATA!A71</f>
        <v>ORD-0070</v>
      </c>
      <c r="B71" s="14">
        <v>45244</v>
      </c>
      <c r="C71" s="14">
        <v>45242</v>
      </c>
      <c r="D71" s="15" t="s">
        <v>571</v>
      </c>
      <c r="E71" s="15" t="s">
        <v>575</v>
      </c>
      <c r="F71" s="15" t="str">
        <f>RAW_DATA!F71</f>
        <v>WH-E</v>
      </c>
      <c r="G71" s="15">
        <f>RAW_DATA!G71</f>
        <v>126</v>
      </c>
      <c r="H71" s="15">
        <f>RAW_DATA!H71</f>
        <v>126</v>
      </c>
      <c r="I71" s="23">
        <f>RAW_DATA!I71</f>
        <v>14.38</v>
      </c>
      <c r="J71" s="23">
        <f>RAW_DATA!J71</f>
        <v>8.14</v>
      </c>
      <c r="K71" s="15">
        <f>RAW_DATA!K71</f>
        <v>4</v>
      </c>
      <c r="L71" s="23">
        <f>RAW_DATA!L71</f>
        <v>1070.69</v>
      </c>
      <c r="M71" s="15" t="s">
        <v>581</v>
      </c>
      <c r="N71" s="15" t="s">
        <v>583</v>
      </c>
    </row>
    <row r="72" spans="1:14" hidden="1" x14ac:dyDescent="0.3">
      <c r="A72" s="16" t="str">
        <f>RAW_DATA!A72</f>
        <v>ORD-0071</v>
      </c>
      <c r="B72" s="17">
        <v>45136</v>
      </c>
      <c r="C72" s="17">
        <v>45140</v>
      </c>
      <c r="D72" s="18" t="s">
        <v>569</v>
      </c>
      <c r="E72" s="18" t="s">
        <v>574</v>
      </c>
      <c r="F72" s="18" t="str">
        <f>RAW_DATA!F72</f>
        <v>WH-A</v>
      </c>
      <c r="G72" s="18">
        <f>RAW_DATA!G72</f>
        <v>169</v>
      </c>
      <c r="H72" s="18">
        <f>RAW_DATA!H72</f>
        <v>136</v>
      </c>
      <c r="I72" s="24">
        <f>RAW_DATA!I72</f>
        <v>9.7899999999999991</v>
      </c>
      <c r="J72" s="24">
        <f>RAW_DATA!J72</f>
        <v>6.76</v>
      </c>
      <c r="K72" s="18">
        <f>RAW_DATA!K72</f>
        <v>4</v>
      </c>
      <c r="L72" s="24">
        <f>RAW_DATA!L72</f>
        <v>1339.42</v>
      </c>
      <c r="M72" s="18">
        <f t="shared" si="2"/>
        <v>4</v>
      </c>
      <c r="N72" s="18" t="str">
        <f t="shared" si="3"/>
        <v>On Time</v>
      </c>
    </row>
    <row r="73" spans="1:14" hidden="1" x14ac:dyDescent="0.3">
      <c r="A73" s="13" t="str">
        <f>RAW_DATA!A73</f>
        <v>ORD-0072</v>
      </c>
      <c r="B73" s="14">
        <v>45265</v>
      </c>
      <c r="C73" s="14">
        <v>45267</v>
      </c>
      <c r="D73" s="15" t="s">
        <v>572</v>
      </c>
      <c r="E73" s="15" t="s">
        <v>575</v>
      </c>
      <c r="F73" s="15" t="str">
        <f>RAW_DATA!F73</f>
        <v>WH-E</v>
      </c>
      <c r="G73" s="15">
        <f>RAW_DATA!G73</f>
        <v>237</v>
      </c>
      <c r="H73" s="15">
        <f>RAW_DATA!H73</f>
        <v>237</v>
      </c>
      <c r="I73" s="23">
        <f>RAW_DATA!I73</f>
        <v>14.02</v>
      </c>
      <c r="J73" s="23">
        <f>RAW_DATA!J73</f>
        <v>8.1300000000000008</v>
      </c>
      <c r="K73" s="15">
        <f>RAW_DATA!K73</f>
        <v>5</v>
      </c>
      <c r="L73" s="23">
        <f>RAW_DATA!L73</f>
        <v>2041.22</v>
      </c>
      <c r="M73" s="15">
        <f t="shared" si="2"/>
        <v>2</v>
      </c>
      <c r="N73" s="15" t="str">
        <f t="shared" si="3"/>
        <v>On Time</v>
      </c>
    </row>
    <row r="74" spans="1:14" hidden="1" x14ac:dyDescent="0.3">
      <c r="A74" s="16" t="str">
        <f>RAW_DATA!A74</f>
        <v>ORD-0073</v>
      </c>
      <c r="B74" s="17">
        <v>45011</v>
      </c>
      <c r="C74" s="17">
        <v>45013</v>
      </c>
      <c r="D74" s="18" t="s">
        <v>198</v>
      </c>
      <c r="E74" s="18" t="s">
        <v>573</v>
      </c>
      <c r="F74" s="18" t="str">
        <f>RAW_DATA!F74</f>
        <v>WH-A</v>
      </c>
      <c r="G74" s="18">
        <f>RAW_DATA!G74</f>
        <v>244</v>
      </c>
      <c r="H74" s="18">
        <f>RAW_DATA!H74</f>
        <v>244</v>
      </c>
      <c r="I74" s="24">
        <f>RAW_DATA!I74</f>
        <v>14.56</v>
      </c>
      <c r="J74" s="24">
        <f>RAW_DATA!J74</f>
        <v>10.050000000000001</v>
      </c>
      <c r="K74" s="18">
        <f>RAW_DATA!K74</f>
        <v>2</v>
      </c>
      <c r="L74" s="24">
        <f>RAW_DATA!L74</f>
        <v>3593.96</v>
      </c>
      <c r="M74" s="18">
        <f t="shared" si="2"/>
        <v>2</v>
      </c>
      <c r="N74" s="18" t="str">
        <f t="shared" si="3"/>
        <v>On Time</v>
      </c>
    </row>
    <row r="75" spans="1:14" x14ac:dyDescent="0.3">
      <c r="A75" s="13" t="str">
        <f>RAW_DATA!A75</f>
        <v>ORD-0074</v>
      </c>
      <c r="B75" s="14">
        <v>45233</v>
      </c>
      <c r="C75" s="14">
        <v>45237</v>
      </c>
      <c r="D75" s="15" t="s">
        <v>570</v>
      </c>
      <c r="E75" s="15" t="s">
        <v>576</v>
      </c>
      <c r="F75" s="15" t="str">
        <f>RAW_DATA!F75</f>
        <v>WH-A</v>
      </c>
      <c r="G75" s="15">
        <f>RAW_DATA!G75</f>
        <v>396</v>
      </c>
      <c r="H75" s="15">
        <f>RAW_DATA!H75</f>
        <v>396</v>
      </c>
      <c r="I75" s="23">
        <f>RAW_DATA!I75</f>
        <v>19</v>
      </c>
      <c r="J75" s="23">
        <f>RAW_DATA!J75</f>
        <v>10.8</v>
      </c>
      <c r="K75" s="15">
        <f>RAW_DATA!K75</f>
        <v>7</v>
      </c>
      <c r="L75" s="23">
        <f>RAW_DATA!L75</f>
        <v>6317.46</v>
      </c>
      <c r="M75" s="15">
        <f t="shared" si="2"/>
        <v>4</v>
      </c>
      <c r="N75" s="15" t="str">
        <f t="shared" si="3"/>
        <v>On Time</v>
      </c>
    </row>
    <row r="76" spans="1:14" hidden="1" x14ac:dyDescent="0.3">
      <c r="A76" s="16" t="str">
        <f>RAW_DATA!A76</f>
        <v>ORD-0075</v>
      </c>
      <c r="B76" s="17">
        <v>44947</v>
      </c>
      <c r="C76" s="17">
        <v>44952</v>
      </c>
      <c r="D76" s="18" t="s">
        <v>578</v>
      </c>
      <c r="E76" s="18" t="s">
        <v>575</v>
      </c>
      <c r="F76" s="18" t="str">
        <f>RAW_DATA!F76</f>
        <v>WH-E</v>
      </c>
      <c r="G76" s="18">
        <f>RAW_DATA!G76</f>
        <v>260</v>
      </c>
      <c r="H76" s="18">
        <f>RAW_DATA!H76</f>
        <v>260</v>
      </c>
      <c r="I76" s="24">
        <f>RAW_DATA!I76</f>
        <v>15.98</v>
      </c>
      <c r="J76" s="24">
        <f>RAW_DATA!J76</f>
        <v>9.68</v>
      </c>
      <c r="K76" s="18">
        <f>RAW_DATA!K76</f>
        <v>3</v>
      </c>
      <c r="L76" s="24">
        <f>RAW_DATA!L76</f>
        <v>3770.59</v>
      </c>
      <c r="M76" s="18">
        <f t="shared" si="2"/>
        <v>5</v>
      </c>
      <c r="N76" s="18" t="str">
        <f t="shared" si="3"/>
        <v>Late</v>
      </c>
    </row>
    <row r="77" spans="1:14" hidden="1" x14ac:dyDescent="0.3">
      <c r="A77" s="13" t="str">
        <f>RAW_DATA!A78</f>
        <v>ORD-0077</v>
      </c>
      <c r="B77" s="14">
        <v>44945</v>
      </c>
      <c r="C77" s="14">
        <v>44947</v>
      </c>
      <c r="D77" s="15" t="s">
        <v>579</v>
      </c>
      <c r="E77" s="15" t="s">
        <v>576</v>
      </c>
      <c r="F77" s="15" t="str">
        <f>RAW_DATA!F78</f>
        <v>WH-E</v>
      </c>
      <c r="G77" s="15">
        <f>RAW_DATA!G78</f>
        <v>149</v>
      </c>
      <c r="H77" s="15">
        <f>RAW_DATA!H78</f>
        <v>149</v>
      </c>
      <c r="I77" s="23">
        <f>RAW_DATA!I78</f>
        <v>27.64</v>
      </c>
      <c r="J77" s="23">
        <f>RAW_DATA!J78</f>
        <v>17.440000000000001</v>
      </c>
      <c r="K77" s="15">
        <f>RAW_DATA!K78</f>
        <v>3</v>
      </c>
      <c r="L77" s="23">
        <f>RAW_DATA!L78</f>
        <v>3141.03</v>
      </c>
      <c r="M77" s="15">
        <f t="shared" si="2"/>
        <v>2</v>
      </c>
      <c r="N77" s="15" t="str">
        <f t="shared" si="3"/>
        <v>On Time</v>
      </c>
    </row>
    <row r="78" spans="1:14" hidden="1" x14ac:dyDescent="0.3">
      <c r="A78" s="16" t="str">
        <f>RAW_DATA!A79</f>
        <v>ORD-0078</v>
      </c>
      <c r="B78" s="17">
        <v>45138</v>
      </c>
      <c r="C78" s="17">
        <v>45141</v>
      </c>
      <c r="D78" s="15" t="s">
        <v>578</v>
      </c>
      <c r="E78" s="18" t="s">
        <v>577</v>
      </c>
      <c r="F78" s="18" t="str">
        <f>RAW_DATA!F79</f>
        <v>WH-D</v>
      </c>
      <c r="G78" s="18">
        <f>RAW_DATA!G79</f>
        <v>205</v>
      </c>
      <c r="H78" s="18">
        <f>RAW_DATA!H79</f>
        <v>205</v>
      </c>
      <c r="I78" s="24">
        <f>RAW_DATA!I79</f>
        <v>6.59</v>
      </c>
      <c r="J78" s="24">
        <f>RAW_DATA!J79</f>
        <v>4.21</v>
      </c>
      <c r="K78" s="18">
        <f>RAW_DATA!K79</f>
        <v>3</v>
      </c>
      <c r="L78" s="24">
        <f>RAW_DATA!L79</f>
        <v>803.47</v>
      </c>
      <c r="M78" s="18">
        <f t="shared" si="2"/>
        <v>3</v>
      </c>
      <c r="N78" s="18" t="str">
        <f t="shared" si="3"/>
        <v>On Time</v>
      </c>
    </row>
    <row r="79" spans="1:14" hidden="1" x14ac:dyDescent="0.3">
      <c r="A79" s="13" t="str">
        <f>RAW_DATA!A80</f>
        <v>ORD-0079</v>
      </c>
      <c r="B79" s="14">
        <v>45074</v>
      </c>
      <c r="C79" s="14">
        <v>45077</v>
      </c>
      <c r="D79" s="15" t="s">
        <v>579</v>
      </c>
      <c r="E79" s="15" t="s">
        <v>577</v>
      </c>
      <c r="F79" s="15" t="str">
        <f>RAW_DATA!F80</f>
        <v>WH-B</v>
      </c>
      <c r="G79" s="15">
        <f>RAW_DATA!G80</f>
        <v>268</v>
      </c>
      <c r="H79" s="15">
        <f>RAW_DATA!H80</f>
        <v>268</v>
      </c>
      <c r="I79" s="23">
        <f>RAW_DATA!I80</f>
        <v>8.3000000000000007</v>
      </c>
      <c r="J79" s="23">
        <f>RAW_DATA!J80</f>
        <v>5.58</v>
      </c>
      <c r="K79" s="15">
        <f>RAW_DATA!K80</f>
        <v>3</v>
      </c>
      <c r="L79" s="23">
        <f>RAW_DATA!L80</f>
        <v>1560.61</v>
      </c>
      <c r="M79" s="15">
        <f t="shared" si="2"/>
        <v>3</v>
      </c>
      <c r="N79" s="15" t="str">
        <f t="shared" si="3"/>
        <v>On Time</v>
      </c>
    </row>
    <row r="80" spans="1:14" hidden="1" x14ac:dyDescent="0.3">
      <c r="A80" s="16" t="str">
        <f>RAW_DATA!A81</f>
        <v>ORD-0080</v>
      </c>
      <c r="B80" s="17">
        <v>44934</v>
      </c>
      <c r="C80" s="17">
        <v>44935</v>
      </c>
      <c r="D80" s="18" t="s">
        <v>198</v>
      </c>
      <c r="E80" s="18" t="s">
        <v>575</v>
      </c>
      <c r="F80" s="18" t="str">
        <f>RAW_DATA!F81</f>
        <v>WH-E</v>
      </c>
      <c r="G80" s="18">
        <f>RAW_DATA!G81</f>
        <v>135</v>
      </c>
      <c r="H80" s="18">
        <f>RAW_DATA!H81</f>
        <v>135</v>
      </c>
      <c r="I80" s="24">
        <f>RAW_DATA!I81</f>
        <v>20.22</v>
      </c>
      <c r="J80" s="24">
        <f>RAW_DATA!J81</f>
        <v>12.99</v>
      </c>
      <c r="K80" s="18">
        <f>RAW_DATA!K81</f>
        <v>2</v>
      </c>
      <c r="L80" s="24">
        <f>RAW_DATA!L81</f>
        <v>1701.88</v>
      </c>
      <c r="M80" s="18">
        <f t="shared" si="2"/>
        <v>1</v>
      </c>
      <c r="N80" s="18" t="str">
        <f t="shared" si="3"/>
        <v>On Time</v>
      </c>
    </row>
    <row r="81" spans="1:14" hidden="1" x14ac:dyDescent="0.3">
      <c r="A81" s="13" t="str">
        <f>RAW_DATA!A82</f>
        <v>ORD-0081</v>
      </c>
      <c r="B81" s="14">
        <v>45187</v>
      </c>
      <c r="C81" s="14">
        <v>45189</v>
      </c>
      <c r="D81" s="15" t="s">
        <v>198</v>
      </c>
      <c r="E81" s="15" t="s">
        <v>576</v>
      </c>
      <c r="F81" s="15" t="str">
        <f>RAW_DATA!F82</f>
        <v>WH-C</v>
      </c>
      <c r="G81" s="15">
        <f>RAW_DATA!G82</f>
        <v>267</v>
      </c>
      <c r="H81" s="15">
        <f>RAW_DATA!H82</f>
        <v>267</v>
      </c>
      <c r="I81" s="23">
        <f>RAW_DATA!I82</f>
        <v>18.920000000000002</v>
      </c>
      <c r="J81" s="23">
        <f>RAW_DATA!J82</f>
        <v>12.49</v>
      </c>
      <c r="K81" s="15">
        <f>RAW_DATA!K82</f>
        <v>2</v>
      </c>
      <c r="L81" s="23">
        <f>RAW_DATA!L82</f>
        <v>3768.86</v>
      </c>
      <c r="M81" s="15">
        <f t="shared" si="2"/>
        <v>2</v>
      </c>
      <c r="N81" s="15" t="str">
        <f t="shared" si="3"/>
        <v>On Time</v>
      </c>
    </row>
    <row r="82" spans="1:14" hidden="1" x14ac:dyDescent="0.3">
      <c r="A82" s="16" t="str">
        <f>RAW_DATA!A83</f>
        <v>ORD-0082</v>
      </c>
      <c r="B82" s="17">
        <v>45139</v>
      </c>
      <c r="C82" s="17">
        <v>45141</v>
      </c>
      <c r="D82" s="18" t="s">
        <v>198</v>
      </c>
      <c r="E82" s="18" t="s">
        <v>573</v>
      </c>
      <c r="F82" s="18" t="str">
        <f>RAW_DATA!F83</f>
        <v>WH-C</v>
      </c>
      <c r="G82" s="18">
        <f>RAW_DATA!G83</f>
        <v>21</v>
      </c>
      <c r="H82" s="18">
        <f>RAW_DATA!H83</f>
        <v>21</v>
      </c>
      <c r="I82" s="24">
        <f>RAW_DATA!I83</f>
        <v>11.75</v>
      </c>
      <c r="J82" s="24">
        <f>RAW_DATA!J83</f>
        <v>7.84</v>
      </c>
      <c r="K82" s="18">
        <f>RAW_DATA!K83</f>
        <v>2</v>
      </c>
      <c r="L82" s="25">
        <f>RAW_DATA!L83</f>
        <v>0</v>
      </c>
      <c r="M82" s="18">
        <f t="shared" si="2"/>
        <v>2</v>
      </c>
      <c r="N82" s="18" t="str">
        <f t="shared" si="3"/>
        <v>On Time</v>
      </c>
    </row>
    <row r="83" spans="1:14" x14ac:dyDescent="0.3">
      <c r="A83" s="13" t="str">
        <f>RAW_DATA!A84</f>
        <v>ORD-0083</v>
      </c>
      <c r="B83" s="14">
        <v>45202</v>
      </c>
      <c r="C83" s="14">
        <v>45205</v>
      </c>
      <c r="D83" s="15" t="s">
        <v>570</v>
      </c>
      <c r="E83" s="15" t="s">
        <v>574</v>
      </c>
      <c r="F83" s="15" t="str">
        <f>RAW_DATA!F84</f>
        <v>WH-D</v>
      </c>
      <c r="G83" s="15">
        <f>RAW_DATA!G84</f>
        <v>302</v>
      </c>
      <c r="H83" s="15">
        <f>RAW_DATA!H84</f>
        <v>302</v>
      </c>
      <c r="I83" s="23">
        <f>RAW_DATA!I84</f>
        <v>8.2100000000000009</v>
      </c>
      <c r="J83" s="23">
        <f>RAW_DATA!J84</f>
        <v>6.05</v>
      </c>
      <c r="K83" s="15">
        <f>RAW_DATA!K84</f>
        <v>7</v>
      </c>
      <c r="L83" s="23">
        <f>RAW_DATA!L84</f>
        <v>2597.6999999999998</v>
      </c>
      <c r="M83" s="15">
        <f t="shared" si="2"/>
        <v>3</v>
      </c>
      <c r="N83" s="15" t="str">
        <f t="shared" si="3"/>
        <v>On Time</v>
      </c>
    </row>
    <row r="84" spans="1:14" hidden="1" x14ac:dyDescent="0.3">
      <c r="A84" s="16" t="str">
        <f>RAW_DATA!A85</f>
        <v>ORD-0084</v>
      </c>
      <c r="B84" s="17">
        <v>45046</v>
      </c>
      <c r="C84" s="17">
        <v>45055</v>
      </c>
      <c r="D84" s="18" t="s">
        <v>572</v>
      </c>
      <c r="E84" s="18" t="s">
        <v>577</v>
      </c>
      <c r="F84" s="18" t="str">
        <f>RAW_DATA!F85</f>
        <v>WH-D</v>
      </c>
      <c r="G84" s="18">
        <f>RAW_DATA!G85</f>
        <v>42</v>
      </c>
      <c r="H84" s="18">
        <f>RAW_DATA!H85</f>
        <v>42</v>
      </c>
      <c r="I84" s="24">
        <f>RAW_DATA!I85</f>
        <v>6.5</v>
      </c>
      <c r="J84" s="24">
        <f>RAW_DATA!J85</f>
        <v>4.76</v>
      </c>
      <c r="K84" s="18">
        <f>RAW_DATA!K85</f>
        <v>5</v>
      </c>
      <c r="L84" s="24">
        <f>RAW_DATA!L85</f>
        <v>225.66</v>
      </c>
      <c r="M84" s="18">
        <f t="shared" si="2"/>
        <v>9</v>
      </c>
      <c r="N84" s="18" t="str">
        <f t="shared" si="3"/>
        <v>Late</v>
      </c>
    </row>
    <row r="85" spans="1:14" hidden="1" x14ac:dyDescent="0.3">
      <c r="A85" s="13" t="str">
        <f>RAW_DATA!A86</f>
        <v>ORD-0085</v>
      </c>
      <c r="B85" s="14">
        <v>44991</v>
      </c>
      <c r="C85" s="14">
        <v>44993</v>
      </c>
      <c r="D85" s="15" t="s">
        <v>198</v>
      </c>
      <c r="E85" s="15" t="s">
        <v>576</v>
      </c>
      <c r="F85" s="15" t="str">
        <f>RAW_DATA!F86</f>
        <v>WH-A</v>
      </c>
      <c r="G85" s="15">
        <f>RAW_DATA!G86</f>
        <v>71</v>
      </c>
      <c r="H85" s="15">
        <f>RAW_DATA!H86</f>
        <v>71</v>
      </c>
      <c r="I85" s="23">
        <f>RAW_DATA!I86</f>
        <v>21.28</v>
      </c>
      <c r="J85" s="23">
        <f>RAW_DATA!J86</f>
        <v>13.94</v>
      </c>
      <c r="K85" s="15">
        <f>RAW_DATA!K86</f>
        <v>2</v>
      </c>
      <c r="L85" s="23">
        <f>RAW_DATA!L86</f>
        <v>1162.1099999999999</v>
      </c>
      <c r="M85" s="15">
        <f t="shared" si="2"/>
        <v>2</v>
      </c>
      <c r="N85" s="15" t="str">
        <f t="shared" si="3"/>
        <v>On Time</v>
      </c>
    </row>
    <row r="86" spans="1:14" hidden="1" x14ac:dyDescent="0.3">
      <c r="A86" s="16" t="str">
        <f>RAW_DATA!A87</f>
        <v>ORD-0086</v>
      </c>
      <c r="B86" s="17">
        <v>44965</v>
      </c>
      <c r="C86" s="17">
        <v>44967</v>
      </c>
      <c r="D86" s="18" t="s">
        <v>198</v>
      </c>
      <c r="E86" s="18" t="s">
        <v>576</v>
      </c>
      <c r="F86" s="18" t="str">
        <f>RAW_DATA!F87</f>
        <v>WH-B</v>
      </c>
      <c r="G86" s="18">
        <f>RAW_DATA!G87</f>
        <v>193</v>
      </c>
      <c r="H86" s="18">
        <f>RAW_DATA!H87</f>
        <v>193</v>
      </c>
      <c r="I86" s="24">
        <f>RAW_DATA!I87</f>
        <v>20.77</v>
      </c>
      <c r="J86" s="24">
        <f>RAW_DATA!J87</f>
        <v>11.76</v>
      </c>
      <c r="K86" s="18">
        <f>RAW_DATA!K87</f>
        <v>2</v>
      </c>
      <c r="L86" s="24">
        <f>RAW_DATA!L87</f>
        <v>2490.16</v>
      </c>
      <c r="M86" s="18">
        <f t="shared" si="2"/>
        <v>2</v>
      </c>
      <c r="N86" s="18" t="str">
        <f t="shared" si="3"/>
        <v>On Time</v>
      </c>
    </row>
    <row r="87" spans="1:14" hidden="1" x14ac:dyDescent="0.3">
      <c r="A87" s="13" t="str">
        <f>RAW_DATA!A88</f>
        <v>ORD-0087</v>
      </c>
      <c r="B87" s="14">
        <v>45204</v>
      </c>
      <c r="C87" s="14">
        <v>45205</v>
      </c>
      <c r="D87" s="15" t="s">
        <v>571</v>
      </c>
      <c r="E87" s="15" t="s">
        <v>575</v>
      </c>
      <c r="F87" s="15" t="str">
        <f>RAW_DATA!F88</f>
        <v>WH-D</v>
      </c>
      <c r="G87" s="15">
        <f>RAW_DATA!G88</f>
        <v>140</v>
      </c>
      <c r="H87" s="15">
        <f>RAW_DATA!H88</f>
        <v>140</v>
      </c>
      <c r="I87" s="23">
        <f>RAW_DATA!I88</f>
        <v>20.29</v>
      </c>
      <c r="J87" s="23">
        <f>RAW_DATA!J88</f>
        <v>15.21</v>
      </c>
      <c r="K87" s="15">
        <f>RAW_DATA!K88</f>
        <v>4</v>
      </c>
      <c r="L87" s="23">
        <f>RAW_DATA!L88</f>
        <v>2870.56</v>
      </c>
      <c r="M87" s="15">
        <f t="shared" si="2"/>
        <v>1</v>
      </c>
      <c r="N87" s="15" t="str">
        <f t="shared" si="3"/>
        <v>On Time</v>
      </c>
    </row>
    <row r="88" spans="1:14" hidden="1" x14ac:dyDescent="0.3">
      <c r="A88" s="16" t="str">
        <f>RAW_DATA!A89</f>
        <v>ORD-0088</v>
      </c>
      <c r="B88" s="17">
        <v>45154</v>
      </c>
      <c r="C88" s="17">
        <v>45157</v>
      </c>
      <c r="D88" s="18" t="s">
        <v>571</v>
      </c>
      <c r="E88" s="18" t="s">
        <v>573</v>
      </c>
      <c r="F88" s="18" t="str">
        <f>RAW_DATA!F89</f>
        <v>WH-A</v>
      </c>
      <c r="G88" s="18">
        <f>RAW_DATA!G89</f>
        <v>34</v>
      </c>
      <c r="H88" s="18">
        <f>RAW_DATA!H89</f>
        <v>23</v>
      </c>
      <c r="I88" s="24">
        <f>RAW_DATA!I89</f>
        <v>11.71</v>
      </c>
      <c r="J88" s="24">
        <f>RAW_DATA!J89</f>
        <v>7.32</v>
      </c>
      <c r="K88" s="18">
        <f>RAW_DATA!K89</f>
        <v>4</v>
      </c>
      <c r="L88" s="24">
        <f>RAW_DATA!L89</f>
        <v>245.73</v>
      </c>
      <c r="M88" s="18">
        <f t="shared" si="2"/>
        <v>3</v>
      </c>
      <c r="N88" s="18" t="str">
        <f t="shared" si="3"/>
        <v>On Time</v>
      </c>
    </row>
    <row r="89" spans="1:14" hidden="1" x14ac:dyDescent="0.3">
      <c r="A89" s="13" t="str">
        <f>RAW_DATA!A90</f>
        <v>ORD-0089</v>
      </c>
      <c r="B89" s="14">
        <v>45014</v>
      </c>
      <c r="C89" s="14">
        <v>45018</v>
      </c>
      <c r="D89" s="15" t="s">
        <v>571</v>
      </c>
      <c r="E89" s="15" t="s">
        <v>577</v>
      </c>
      <c r="F89" s="15" t="str">
        <f>RAW_DATA!F90</f>
        <v>WH-B</v>
      </c>
      <c r="G89" s="15">
        <f>RAW_DATA!G90</f>
        <v>337</v>
      </c>
      <c r="H89" s="15">
        <f>RAW_DATA!H90</f>
        <v>337</v>
      </c>
      <c r="I89" s="23">
        <f>RAW_DATA!I90</f>
        <v>6.59</v>
      </c>
      <c r="J89" s="23">
        <f>RAW_DATA!J90</f>
        <v>4.3899999999999997</v>
      </c>
      <c r="K89" s="15">
        <f>RAW_DATA!K90</f>
        <v>4</v>
      </c>
      <c r="L89" s="23">
        <f>RAW_DATA!L90</f>
        <v>1537.59</v>
      </c>
      <c r="M89" s="15">
        <f t="shared" si="2"/>
        <v>4</v>
      </c>
      <c r="N89" s="15" t="str">
        <f t="shared" si="3"/>
        <v>On Time</v>
      </c>
    </row>
    <row r="90" spans="1:14" hidden="1" x14ac:dyDescent="0.3">
      <c r="A90" s="16" t="str">
        <f>RAW_DATA!A91</f>
        <v>ORD-0090</v>
      </c>
      <c r="B90" s="17">
        <v>45268</v>
      </c>
      <c r="C90" s="17">
        <v>45270</v>
      </c>
      <c r="D90" s="18" t="s">
        <v>579</v>
      </c>
      <c r="E90" s="18" t="s">
        <v>576</v>
      </c>
      <c r="F90" s="18" t="str">
        <f>RAW_DATA!F91</f>
        <v>WH-C</v>
      </c>
      <c r="G90" s="18">
        <f>RAW_DATA!G91</f>
        <v>167</v>
      </c>
      <c r="H90" s="18">
        <f>RAW_DATA!H91</f>
        <v>167</v>
      </c>
      <c r="I90" s="24">
        <f>RAW_DATA!I91</f>
        <v>17.899999999999999</v>
      </c>
      <c r="J90" s="24">
        <f>RAW_DATA!J91</f>
        <v>11.43</v>
      </c>
      <c r="K90" s="18">
        <f>RAW_DATA!K91</f>
        <v>3</v>
      </c>
      <c r="L90" s="24">
        <f>RAW_DATA!L91</f>
        <v>2113.6999999999998</v>
      </c>
      <c r="M90" s="18">
        <f t="shared" si="2"/>
        <v>2</v>
      </c>
      <c r="N90" s="18" t="str">
        <f t="shared" si="3"/>
        <v>On Time</v>
      </c>
    </row>
    <row r="91" spans="1:14" hidden="1" x14ac:dyDescent="0.3">
      <c r="A91" s="13" t="str">
        <f>RAW_DATA!A92</f>
        <v>ORD-0091</v>
      </c>
      <c r="B91" s="14">
        <v>45160</v>
      </c>
      <c r="C91" s="14">
        <v>45161</v>
      </c>
      <c r="D91" s="15" t="s">
        <v>579</v>
      </c>
      <c r="E91" s="15" t="s">
        <v>576</v>
      </c>
      <c r="F91" s="15" t="str">
        <f>RAW_DATA!F92</f>
        <v>WH-C</v>
      </c>
      <c r="G91" s="15">
        <f>RAW_DATA!G92</f>
        <v>216</v>
      </c>
      <c r="H91" s="15">
        <f>RAW_DATA!H92</f>
        <v>216</v>
      </c>
      <c r="I91" s="23">
        <f>RAW_DATA!I92</f>
        <v>17.28</v>
      </c>
      <c r="J91" s="23">
        <f>RAW_DATA!J92</f>
        <v>10.82</v>
      </c>
      <c r="K91" s="15">
        <f>RAW_DATA!K92</f>
        <v>3</v>
      </c>
      <c r="L91" s="23">
        <f>RAW_DATA!L92</f>
        <v>2606.77</v>
      </c>
      <c r="M91" s="15">
        <f t="shared" si="2"/>
        <v>1</v>
      </c>
      <c r="N91" s="15" t="str">
        <f t="shared" si="3"/>
        <v>On Time</v>
      </c>
    </row>
    <row r="92" spans="1:14" hidden="1" x14ac:dyDescent="0.3">
      <c r="A92" s="16" t="str">
        <f>RAW_DATA!A93</f>
        <v>ORD-0092</v>
      </c>
      <c r="B92" s="17">
        <v>45264</v>
      </c>
      <c r="C92" s="17">
        <v>45265</v>
      </c>
      <c r="D92" s="18" t="s">
        <v>579</v>
      </c>
      <c r="E92" s="18" t="s">
        <v>575</v>
      </c>
      <c r="F92" s="18" t="str">
        <f>RAW_DATA!F93</f>
        <v>WH-A</v>
      </c>
      <c r="G92" s="18">
        <f>RAW_DATA!G93</f>
        <v>309</v>
      </c>
      <c r="H92" s="18">
        <f>RAW_DATA!H93</f>
        <v>309</v>
      </c>
      <c r="I92" s="24">
        <f>RAW_DATA!I93</f>
        <v>19</v>
      </c>
      <c r="J92" s="24">
        <f>RAW_DATA!J93</f>
        <v>14.15</v>
      </c>
      <c r="K92" s="18">
        <f>RAW_DATA!K93</f>
        <v>3</v>
      </c>
      <c r="L92" s="24">
        <f>RAW_DATA!L93</f>
        <v>6324.04</v>
      </c>
      <c r="M92" s="18">
        <f t="shared" si="2"/>
        <v>1</v>
      </c>
      <c r="N92" s="18" t="str">
        <f t="shared" si="3"/>
        <v>On Time</v>
      </c>
    </row>
    <row r="93" spans="1:14" x14ac:dyDescent="0.3">
      <c r="A93" s="13" t="str">
        <f>RAW_DATA!A94</f>
        <v>ORD-0093</v>
      </c>
      <c r="B93" s="14">
        <v>45237</v>
      </c>
      <c r="C93" s="14">
        <v>45233</v>
      </c>
      <c r="D93" s="15" t="s">
        <v>570</v>
      </c>
      <c r="E93" s="15" t="s">
        <v>575</v>
      </c>
      <c r="F93" s="15" t="str">
        <f>RAW_DATA!F94</f>
        <v>WH-B</v>
      </c>
      <c r="G93" s="15">
        <f>RAW_DATA!G94</f>
        <v>345</v>
      </c>
      <c r="H93" s="15">
        <f>RAW_DATA!H94</f>
        <v>345</v>
      </c>
      <c r="I93" s="23">
        <f>RAW_DATA!I94</f>
        <v>14.26</v>
      </c>
      <c r="J93" s="23">
        <f>RAW_DATA!J94</f>
        <v>10</v>
      </c>
      <c r="K93" s="15">
        <f>RAW_DATA!K94</f>
        <v>7</v>
      </c>
      <c r="L93" s="23">
        <f>RAW_DATA!L94</f>
        <v>4693.66</v>
      </c>
      <c r="M93" s="15" t="s">
        <v>581</v>
      </c>
      <c r="N93" s="15" t="s">
        <v>583</v>
      </c>
    </row>
    <row r="94" spans="1:14" hidden="1" x14ac:dyDescent="0.3">
      <c r="A94" s="16" t="str">
        <f>RAW_DATA!A95</f>
        <v>ORD-0094</v>
      </c>
      <c r="B94" s="17">
        <v>45085</v>
      </c>
      <c r="C94" s="17">
        <v>45086</v>
      </c>
      <c r="D94" s="18" t="s">
        <v>198</v>
      </c>
      <c r="E94" s="18" t="s">
        <v>573</v>
      </c>
      <c r="F94" s="18" t="str">
        <f>RAW_DATA!F95</f>
        <v>WH-A</v>
      </c>
      <c r="G94" s="18">
        <f>RAW_DATA!G95</f>
        <v>316</v>
      </c>
      <c r="H94" s="18">
        <f>RAW_DATA!H95</f>
        <v>316</v>
      </c>
      <c r="I94" s="24">
        <f>RAW_DATA!I95</f>
        <v>10.55</v>
      </c>
      <c r="J94" s="24">
        <f>RAW_DATA!J95</f>
        <v>7.72</v>
      </c>
      <c r="K94" s="18">
        <f>RAW_DATA!K95</f>
        <v>2</v>
      </c>
      <c r="L94" s="24">
        <f>RAW_DATA!L95</f>
        <v>2673.79</v>
      </c>
      <c r="M94" s="18">
        <f t="shared" si="2"/>
        <v>1</v>
      </c>
      <c r="N94" s="18" t="str">
        <f t="shared" si="3"/>
        <v>On Time</v>
      </c>
    </row>
    <row r="95" spans="1:14" hidden="1" x14ac:dyDescent="0.3">
      <c r="A95" s="13" t="str">
        <f>RAW_DATA!A96</f>
        <v>ORD-0095</v>
      </c>
      <c r="B95" s="14">
        <v>44994</v>
      </c>
      <c r="C95" s="14">
        <v>44997</v>
      </c>
      <c r="D95" s="15" t="s">
        <v>571</v>
      </c>
      <c r="E95" s="15" t="s">
        <v>574</v>
      </c>
      <c r="F95" s="15" t="str">
        <f>RAW_DATA!F96</f>
        <v>WH-B</v>
      </c>
      <c r="G95" s="15">
        <f>RAW_DATA!G96</f>
        <v>291</v>
      </c>
      <c r="H95" s="15">
        <f>RAW_DATA!H96</f>
        <v>291</v>
      </c>
      <c r="I95" s="23">
        <f>RAW_DATA!I96</f>
        <v>7.71</v>
      </c>
      <c r="J95" s="23">
        <f>RAW_DATA!J96</f>
        <v>4.49</v>
      </c>
      <c r="K95" s="15">
        <f>RAW_DATA!K96</f>
        <v>4</v>
      </c>
      <c r="L95" s="23">
        <f>RAW_DATA!L96</f>
        <v>1892.5</v>
      </c>
      <c r="M95" s="15">
        <f t="shared" si="2"/>
        <v>3</v>
      </c>
      <c r="N95" s="15" t="str">
        <f t="shared" si="3"/>
        <v>On Time</v>
      </c>
    </row>
    <row r="96" spans="1:14" x14ac:dyDescent="0.3">
      <c r="A96" s="16" t="str">
        <f>RAW_DATA!A97</f>
        <v>ORD-0096</v>
      </c>
      <c r="B96" s="17">
        <v>44985</v>
      </c>
      <c r="C96" s="17">
        <v>44986</v>
      </c>
      <c r="D96" s="18" t="s">
        <v>570</v>
      </c>
      <c r="E96" s="18" t="s">
        <v>575</v>
      </c>
      <c r="F96" s="18" t="str">
        <f>RAW_DATA!F97</f>
        <v>WH-C</v>
      </c>
      <c r="G96" s="18">
        <f>RAW_DATA!G97</f>
        <v>92</v>
      </c>
      <c r="H96" s="18">
        <f>RAW_DATA!H97</f>
        <v>92</v>
      </c>
      <c r="I96" s="24">
        <f>RAW_DATA!I97</f>
        <v>14.03</v>
      </c>
      <c r="J96" s="24">
        <f>RAW_DATA!J97</f>
        <v>9.61</v>
      </c>
      <c r="K96" s="18">
        <f>RAW_DATA!K97</f>
        <v>7</v>
      </c>
      <c r="L96" s="24">
        <f>RAW_DATA!L97</f>
        <v>1153.46</v>
      </c>
      <c r="M96" s="18">
        <f t="shared" si="2"/>
        <v>1</v>
      </c>
      <c r="N96" s="18" t="str">
        <f t="shared" si="3"/>
        <v>On Time</v>
      </c>
    </row>
    <row r="97" spans="1:14" hidden="1" x14ac:dyDescent="0.3">
      <c r="A97" s="13" t="str">
        <f>RAW_DATA!A98</f>
        <v>ORD-0097</v>
      </c>
      <c r="B97" s="14">
        <v>44973</v>
      </c>
      <c r="C97" s="14">
        <v>44974</v>
      </c>
      <c r="D97" s="15" t="s">
        <v>571</v>
      </c>
      <c r="E97" s="15" t="s">
        <v>577</v>
      </c>
      <c r="F97" s="15" t="str">
        <f>RAW_DATA!F98</f>
        <v>WH-C</v>
      </c>
      <c r="G97" s="15">
        <f>RAW_DATA!G98</f>
        <v>155</v>
      </c>
      <c r="H97" s="15">
        <f>RAW_DATA!H98</f>
        <v>155</v>
      </c>
      <c r="I97" s="23">
        <f>RAW_DATA!I98</f>
        <v>6.44</v>
      </c>
      <c r="J97" s="23">
        <f>RAW_DATA!J98</f>
        <v>4.41</v>
      </c>
      <c r="K97" s="15">
        <f>RAW_DATA!K98</f>
        <v>4</v>
      </c>
      <c r="L97" s="23">
        <f>RAW_DATA!L98</f>
        <v>890.94</v>
      </c>
      <c r="M97" s="15">
        <f t="shared" si="2"/>
        <v>1</v>
      </c>
      <c r="N97" s="15" t="str">
        <f t="shared" si="3"/>
        <v>On Time</v>
      </c>
    </row>
    <row r="98" spans="1:14" hidden="1" x14ac:dyDescent="0.3">
      <c r="A98" s="16" t="str">
        <f>RAW_DATA!A99</f>
        <v>ORD-0098</v>
      </c>
      <c r="B98" s="17">
        <v>45272</v>
      </c>
      <c r="C98" s="17">
        <v>45273</v>
      </c>
      <c r="D98" s="18" t="s">
        <v>571</v>
      </c>
      <c r="E98" s="18" t="s">
        <v>575</v>
      </c>
      <c r="F98" s="18" t="str">
        <f>RAW_DATA!F99</f>
        <v>WH-A</v>
      </c>
      <c r="G98" s="18">
        <f>RAW_DATA!G99</f>
        <v>337</v>
      </c>
      <c r="H98" s="18">
        <f>RAW_DATA!H99</f>
        <v>337</v>
      </c>
      <c r="I98" s="24">
        <f>RAW_DATA!I99</f>
        <v>17.05</v>
      </c>
      <c r="J98" s="24">
        <f>RAW_DATA!J99</f>
        <v>12.5</v>
      </c>
      <c r="K98" s="18">
        <f>RAW_DATA!K99</f>
        <v>4</v>
      </c>
      <c r="L98" s="24">
        <f>RAW_DATA!L99</f>
        <v>4350.76</v>
      </c>
      <c r="M98" s="18">
        <f t="shared" si="2"/>
        <v>1</v>
      </c>
      <c r="N98" s="18" t="str">
        <f t="shared" si="3"/>
        <v>On Time</v>
      </c>
    </row>
    <row r="99" spans="1:14" hidden="1" x14ac:dyDescent="0.3">
      <c r="A99" s="13" t="str">
        <f>RAW_DATA!A100</f>
        <v>ORD-0099</v>
      </c>
      <c r="B99" s="14">
        <v>45259</v>
      </c>
      <c r="C99" s="14">
        <v>45261</v>
      </c>
      <c r="D99" s="15" t="s">
        <v>569</v>
      </c>
      <c r="E99" s="15" t="s">
        <v>576</v>
      </c>
      <c r="F99" s="15" t="str">
        <f>RAW_DATA!F100</f>
        <v>WH-C</v>
      </c>
      <c r="G99" s="15">
        <f>RAW_DATA!G100</f>
        <v>43</v>
      </c>
      <c r="H99" s="15">
        <f>RAW_DATA!H100</f>
        <v>43</v>
      </c>
      <c r="I99" s="23">
        <f>RAW_DATA!I100</f>
        <v>19.649999999999999</v>
      </c>
      <c r="J99" s="23">
        <f>RAW_DATA!J100</f>
        <v>12.74</v>
      </c>
      <c r="K99" s="15">
        <f>RAW_DATA!K100</f>
        <v>4</v>
      </c>
      <c r="L99" s="23">
        <f>RAW_DATA!L100</f>
        <v>524.98</v>
      </c>
      <c r="M99" s="15">
        <f t="shared" si="2"/>
        <v>2</v>
      </c>
      <c r="N99" s="15" t="str">
        <f t="shared" si="3"/>
        <v>On Time</v>
      </c>
    </row>
    <row r="100" spans="1:14" hidden="1" x14ac:dyDescent="0.3">
      <c r="A100" s="16" t="str">
        <f>RAW_DATA!A101</f>
        <v>ORD-0100</v>
      </c>
      <c r="B100" s="17">
        <v>45116</v>
      </c>
      <c r="C100" s="17">
        <v>45118</v>
      </c>
      <c r="D100" s="18" t="s">
        <v>198</v>
      </c>
      <c r="E100" s="18" t="s">
        <v>576</v>
      </c>
      <c r="F100" s="18" t="str">
        <f>RAW_DATA!F101</f>
        <v>WH-D</v>
      </c>
      <c r="G100" s="18">
        <f>RAW_DATA!G101</f>
        <v>320</v>
      </c>
      <c r="H100" s="18">
        <f>RAW_DATA!H101</f>
        <v>320</v>
      </c>
      <c r="I100" s="24">
        <f>RAW_DATA!I101</f>
        <v>17.850000000000001</v>
      </c>
      <c r="J100" s="24">
        <f>RAW_DATA!J101</f>
        <v>11.3</v>
      </c>
      <c r="K100" s="18">
        <f>RAW_DATA!K101</f>
        <v>2</v>
      </c>
      <c r="L100" s="24">
        <f>RAW_DATA!L101</f>
        <v>3469.24</v>
      </c>
      <c r="M100" s="18">
        <f t="shared" si="2"/>
        <v>2</v>
      </c>
      <c r="N100" s="18" t="str">
        <f t="shared" si="3"/>
        <v>On Time</v>
      </c>
    </row>
    <row r="101" spans="1:14" x14ac:dyDescent="0.3">
      <c r="A101" s="13" t="str">
        <f>RAW_DATA!A102</f>
        <v>ORD-0101</v>
      </c>
      <c r="B101" s="14">
        <v>45070</v>
      </c>
      <c r="C101" s="14">
        <v>45073</v>
      </c>
      <c r="D101" s="15" t="s">
        <v>570</v>
      </c>
      <c r="E101" s="15" t="s">
        <v>577</v>
      </c>
      <c r="F101" s="15" t="str">
        <f>RAW_DATA!F102</f>
        <v>WH-D</v>
      </c>
      <c r="G101" s="15">
        <f>RAW_DATA!G102</f>
        <v>131</v>
      </c>
      <c r="H101" s="15">
        <f>RAW_DATA!H102</f>
        <v>131</v>
      </c>
      <c r="I101" s="23">
        <f>RAW_DATA!I102</f>
        <v>8.2200000000000006</v>
      </c>
      <c r="J101" s="23">
        <f>RAW_DATA!J102</f>
        <v>5.93</v>
      </c>
      <c r="K101" s="15">
        <f>RAW_DATA!K102</f>
        <v>7</v>
      </c>
      <c r="L101" s="23">
        <f>RAW_DATA!L102</f>
        <v>745.46</v>
      </c>
      <c r="M101" s="15">
        <f t="shared" si="2"/>
        <v>3</v>
      </c>
      <c r="N101" s="15" t="str">
        <f t="shared" si="3"/>
        <v>On Time</v>
      </c>
    </row>
    <row r="102" spans="1:14" hidden="1" x14ac:dyDescent="0.3">
      <c r="A102" s="16" t="str">
        <f>RAW_DATA!A103</f>
        <v>ORD-0102</v>
      </c>
      <c r="B102" s="17">
        <v>44958</v>
      </c>
      <c r="C102" s="17">
        <v>44960</v>
      </c>
      <c r="D102" s="18" t="s">
        <v>211</v>
      </c>
      <c r="E102" s="18" t="s">
        <v>577</v>
      </c>
      <c r="F102" s="18" t="str">
        <f>RAW_DATA!F103</f>
        <v>WH-C</v>
      </c>
      <c r="G102" s="18">
        <f>RAW_DATA!G103</f>
        <v>82</v>
      </c>
      <c r="H102" s="18">
        <f>RAW_DATA!H103</f>
        <v>82</v>
      </c>
      <c r="I102" s="24">
        <f>RAW_DATA!I103</f>
        <v>7.77</v>
      </c>
      <c r="J102" s="24">
        <f>RAW_DATA!J103</f>
        <v>4.42</v>
      </c>
      <c r="K102" s="18">
        <f>RAW_DATA!K103</f>
        <v>6</v>
      </c>
      <c r="L102" s="24">
        <f>RAW_DATA!L103</f>
        <v>372.32</v>
      </c>
      <c r="M102" s="18">
        <f t="shared" si="2"/>
        <v>2</v>
      </c>
      <c r="N102" s="18" t="str">
        <f t="shared" si="3"/>
        <v>On Time</v>
      </c>
    </row>
    <row r="103" spans="1:14" hidden="1" x14ac:dyDescent="0.3">
      <c r="A103" s="13" t="str">
        <f>RAW_DATA!A104</f>
        <v>ORD-0103</v>
      </c>
      <c r="B103" s="14">
        <v>45051</v>
      </c>
      <c r="C103" s="14">
        <v>45059</v>
      </c>
      <c r="D103" s="15" t="s">
        <v>578</v>
      </c>
      <c r="E103" s="15" t="s">
        <v>573</v>
      </c>
      <c r="F103" s="15" t="str">
        <f>RAW_DATA!F104</f>
        <v>WH-C</v>
      </c>
      <c r="G103" s="15">
        <f>RAW_DATA!G104</f>
        <v>125</v>
      </c>
      <c r="H103" s="15">
        <f>RAW_DATA!H104</f>
        <v>125</v>
      </c>
      <c r="I103" s="23">
        <f>RAW_DATA!I104</f>
        <v>15.11</v>
      </c>
      <c r="J103" s="23">
        <f>RAW_DATA!J104</f>
        <v>8.94</v>
      </c>
      <c r="K103" s="15">
        <f>RAW_DATA!K104</f>
        <v>3</v>
      </c>
      <c r="L103" s="23">
        <f>RAW_DATA!L104</f>
        <v>1150.55</v>
      </c>
      <c r="M103" s="15">
        <f t="shared" si="2"/>
        <v>8</v>
      </c>
      <c r="N103" s="15" t="str">
        <f t="shared" si="3"/>
        <v>Late</v>
      </c>
    </row>
    <row r="104" spans="1:14" hidden="1" x14ac:dyDescent="0.3">
      <c r="A104" s="16" t="str">
        <f>RAW_DATA!A105</f>
        <v>ORD-0104</v>
      </c>
      <c r="B104" s="17">
        <v>45232</v>
      </c>
      <c r="C104" s="17">
        <v>45234</v>
      </c>
      <c r="D104" s="18" t="s">
        <v>572</v>
      </c>
      <c r="E104" s="18" t="s">
        <v>575</v>
      </c>
      <c r="F104" s="18" t="str">
        <f>RAW_DATA!F105</f>
        <v>WH-B</v>
      </c>
      <c r="G104" s="18">
        <f>RAW_DATA!G105</f>
        <v>86</v>
      </c>
      <c r="H104" s="18">
        <f>RAW_DATA!H105</f>
        <v>86</v>
      </c>
      <c r="I104" s="24">
        <f>RAW_DATA!I105</f>
        <v>19.190000000000001</v>
      </c>
      <c r="J104" s="24">
        <f>RAW_DATA!J105</f>
        <v>10.98</v>
      </c>
      <c r="K104" s="18">
        <f>RAW_DATA!K105</f>
        <v>5</v>
      </c>
      <c r="L104" s="24">
        <f>RAW_DATA!L105</f>
        <v>1340.75</v>
      </c>
      <c r="M104" s="18">
        <f t="shared" si="2"/>
        <v>2</v>
      </c>
      <c r="N104" s="18" t="str">
        <f t="shared" si="3"/>
        <v>On Time</v>
      </c>
    </row>
    <row r="105" spans="1:14" hidden="1" x14ac:dyDescent="0.3">
      <c r="A105" s="13" t="str">
        <f>RAW_DATA!A106</f>
        <v>ORD-0105</v>
      </c>
      <c r="B105" s="14">
        <v>45048</v>
      </c>
      <c r="C105" s="14">
        <v>45049</v>
      </c>
      <c r="D105" s="15" t="s">
        <v>198</v>
      </c>
      <c r="E105" s="15" t="s">
        <v>573</v>
      </c>
      <c r="F105" s="15" t="str">
        <f>RAW_DATA!F106</f>
        <v>WH-C</v>
      </c>
      <c r="G105" s="15">
        <f>RAW_DATA!G106</f>
        <v>109</v>
      </c>
      <c r="H105" s="15">
        <f>RAW_DATA!H106</f>
        <v>109</v>
      </c>
      <c r="I105" s="23">
        <f>RAW_DATA!I106</f>
        <v>10.51</v>
      </c>
      <c r="J105" s="23">
        <f>RAW_DATA!J106</f>
        <v>6.67</v>
      </c>
      <c r="K105" s="15">
        <f>RAW_DATA!K106</f>
        <v>2</v>
      </c>
      <c r="L105" s="23">
        <f>RAW_DATA!L106</f>
        <v>703.9</v>
      </c>
      <c r="M105" s="15">
        <f t="shared" si="2"/>
        <v>1</v>
      </c>
      <c r="N105" s="15" t="str">
        <f t="shared" si="3"/>
        <v>On Time</v>
      </c>
    </row>
    <row r="106" spans="1:14" hidden="1" x14ac:dyDescent="0.3">
      <c r="A106" s="16" t="str">
        <f>RAW_DATA!A107</f>
        <v>ORD-0106</v>
      </c>
      <c r="B106" s="17">
        <v>45112</v>
      </c>
      <c r="C106" s="17">
        <v>45113</v>
      </c>
      <c r="D106" s="18" t="s">
        <v>569</v>
      </c>
      <c r="E106" s="18" t="s">
        <v>576</v>
      </c>
      <c r="F106" s="18" t="str">
        <f>RAW_DATA!F107</f>
        <v>WH-D</v>
      </c>
      <c r="G106" s="18">
        <f>RAW_DATA!G107</f>
        <v>251</v>
      </c>
      <c r="H106" s="18">
        <f>RAW_DATA!H107</f>
        <v>251</v>
      </c>
      <c r="I106" s="24">
        <f>RAW_DATA!I107</f>
        <v>27.34</v>
      </c>
      <c r="J106" s="24">
        <f>RAW_DATA!J107</f>
        <v>15.27</v>
      </c>
      <c r="K106" s="18">
        <f>RAW_DATA!K107</f>
        <v>4</v>
      </c>
      <c r="L106" s="24">
        <f>RAW_DATA!L107</f>
        <v>5250.65</v>
      </c>
      <c r="M106" s="18">
        <f t="shared" si="2"/>
        <v>1</v>
      </c>
      <c r="N106" s="18" t="str">
        <f t="shared" si="3"/>
        <v>On Time</v>
      </c>
    </row>
    <row r="107" spans="1:14" hidden="1" x14ac:dyDescent="0.3">
      <c r="A107" s="13" t="str">
        <f>RAW_DATA!A108</f>
        <v>ORD-0107</v>
      </c>
      <c r="B107" s="14">
        <v>44958</v>
      </c>
      <c r="C107" s="14">
        <v>44965</v>
      </c>
      <c r="D107" s="15" t="s">
        <v>579</v>
      </c>
      <c r="E107" s="15" t="s">
        <v>576</v>
      </c>
      <c r="F107" s="15" t="str">
        <f>RAW_DATA!F108</f>
        <v>WH-A</v>
      </c>
      <c r="G107" s="15">
        <f>RAW_DATA!G108</f>
        <v>238</v>
      </c>
      <c r="H107" s="15">
        <f>RAW_DATA!H108</f>
        <v>238</v>
      </c>
      <c r="I107" s="23" t="str">
        <f>RAW_DATA!I108</f>
        <v>$21.88</v>
      </c>
      <c r="J107" s="23">
        <f>RAW_DATA!J108</f>
        <v>16.010000000000002</v>
      </c>
      <c r="K107" s="15">
        <f>RAW_DATA!K108</f>
        <v>3</v>
      </c>
      <c r="L107" s="23">
        <f>RAW_DATA!L108</f>
        <v>3597.36</v>
      </c>
      <c r="M107" s="15">
        <f t="shared" si="2"/>
        <v>7</v>
      </c>
      <c r="N107" s="15" t="str">
        <f t="shared" si="3"/>
        <v>Late</v>
      </c>
    </row>
    <row r="108" spans="1:14" hidden="1" x14ac:dyDescent="0.3">
      <c r="A108" s="16" t="str">
        <f>RAW_DATA!A109</f>
        <v>ORD-0108</v>
      </c>
      <c r="B108" s="17">
        <v>45002</v>
      </c>
      <c r="C108" s="17">
        <v>45005</v>
      </c>
      <c r="D108" s="18" t="s">
        <v>569</v>
      </c>
      <c r="E108" s="18" t="s">
        <v>575</v>
      </c>
      <c r="F108" s="18" t="str">
        <f>RAW_DATA!F109</f>
        <v>WH-E</v>
      </c>
      <c r="G108" s="18">
        <f>RAW_DATA!G109</f>
        <v>339</v>
      </c>
      <c r="H108" s="18">
        <f>RAW_DATA!H109</f>
        <v>339</v>
      </c>
      <c r="I108" s="24">
        <f>RAW_DATA!I109</f>
        <v>16.940000000000001</v>
      </c>
      <c r="J108" s="24">
        <f>RAW_DATA!J109</f>
        <v>10.42</v>
      </c>
      <c r="K108" s="18">
        <f>RAW_DATA!K109</f>
        <v>4</v>
      </c>
      <c r="L108" s="24">
        <f>RAW_DATA!L109</f>
        <v>5287.18</v>
      </c>
      <c r="M108" s="18">
        <f t="shared" si="2"/>
        <v>3</v>
      </c>
      <c r="N108" s="18" t="str">
        <f t="shared" si="3"/>
        <v>On Time</v>
      </c>
    </row>
    <row r="109" spans="1:14" hidden="1" x14ac:dyDescent="0.3">
      <c r="A109" s="13" t="str">
        <f>RAW_DATA!A110</f>
        <v>ORD-0109</v>
      </c>
      <c r="B109" s="14">
        <v>45236</v>
      </c>
      <c r="C109" s="14">
        <v>45239</v>
      </c>
      <c r="D109" s="15" t="s">
        <v>579</v>
      </c>
      <c r="E109" s="15" t="s">
        <v>576</v>
      </c>
      <c r="F109" s="15" t="str">
        <f>RAW_DATA!F110</f>
        <v>WH-E</v>
      </c>
      <c r="G109" s="15">
        <f>RAW_DATA!G110</f>
        <v>78</v>
      </c>
      <c r="H109" s="15">
        <f>RAW_DATA!H110</f>
        <v>78</v>
      </c>
      <c r="I109" s="23" t="str">
        <f>RAW_DATA!I110</f>
        <v>$23.81</v>
      </c>
      <c r="J109" s="23">
        <f>RAW_DATA!J110</f>
        <v>16.760000000000002</v>
      </c>
      <c r="K109" s="15">
        <f>RAW_DATA!K110</f>
        <v>3</v>
      </c>
      <c r="L109" s="23">
        <f>RAW_DATA!L110</f>
        <v>1741.96</v>
      </c>
      <c r="M109" s="15">
        <f t="shared" si="2"/>
        <v>3</v>
      </c>
      <c r="N109" s="15" t="str">
        <f t="shared" si="3"/>
        <v>On Time</v>
      </c>
    </row>
    <row r="110" spans="1:14" hidden="1" x14ac:dyDescent="0.3">
      <c r="A110" s="16" t="str">
        <f>RAW_DATA!A111</f>
        <v>ORD-0110</v>
      </c>
      <c r="B110" s="17">
        <v>45043</v>
      </c>
      <c r="C110" s="17">
        <v>45047</v>
      </c>
      <c r="D110" s="18" t="s">
        <v>572</v>
      </c>
      <c r="E110" s="18" t="s">
        <v>576</v>
      </c>
      <c r="F110" s="18" t="str">
        <f>RAW_DATA!F111</f>
        <v>WH-D</v>
      </c>
      <c r="G110" s="18">
        <f>RAW_DATA!G111</f>
        <v>224</v>
      </c>
      <c r="H110" s="18">
        <f>RAW_DATA!H111</f>
        <v>224</v>
      </c>
      <c r="I110" s="24">
        <f>RAW_DATA!I111</f>
        <v>17.14</v>
      </c>
      <c r="J110" s="24">
        <f>RAW_DATA!J111</f>
        <v>10.89</v>
      </c>
      <c r="K110" s="18">
        <f>RAW_DATA!K111</f>
        <v>5</v>
      </c>
      <c r="L110" s="24">
        <f>RAW_DATA!L111</f>
        <v>3168.89</v>
      </c>
      <c r="M110" s="18">
        <f t="shared" si="2"/>
        <v>4</v>
      </c>
      <c r="N110" s="18" t="str">
        <f t="shared" si="3"/>
        <v>On Time</v>
      </c>
    </row>
    <row r="111" spans="1:14" hidden="1" x14ac:dyDescent="0.3">
      <c r="A111" s="13" t="str">
        <f>RAW_DATA!A112</f>
        <v>ORD-0111</v>
      </c>
      <c r="B111" s="14">
        <v>44961</v>
      </c>
      <c r="C111" s="14">
        <v>44962</v>
      </c>
      <c r="D111" s="15" t="s">
        <v>211</v>
      </c>
      <c r="E111" s="15" t="s">
        <v>574</v>
      </c>
      <c r="F111" s="15" t="str">
        <f>RAW_DATA!F112</f>
        <v>WH-D</v>
      </c>
      <c r="G111" s="15">
        <f>RAW_DATA!G112</f>
        <v>67</v>
      </c>
      <c r="H111" s="15">
        <f>RAW_DATA!H112</f>
        <v>67</v>
      </c>
      <c r="I111" s="23">
        <f>RAW_DATA!I112</f>
        <v>9.9700000000000006</v>
      </c>
      <c r="J111" s="23">
        <f>RAW_DATA!J112</f>
        <v>6.23</v>
      </c>
      <c r="K111" s="15">
        <f>RAW_DATA!K112</f>
        <v>6</v>
      </c>
      <c r="L111" s="23">
        <f>RAW_DATA!L112</f>
        <v>408.26</v>
      </c>
      <c r="M111" s="15">
        <f t="shared" si="2"/>
        <v>1</v>
      </c>
      <c r="N111" s="15" t="str">
        <f t="shared" si="3"/>
        <v>On Time</v>
      </c>
    </row>
    <row r="112" spans="1:14" hidden="1" x14ac:dyDescent="0.3">
      <c r="A112" s="16" t="str">
        <f>RAW_DATA!A113</f>
        <v>ORD-0112</v>
      </c>
      <c r="B112" s="17">
        <v>45214</v>
      </c>
      <c r="C112" s="17">
        <v>45215</v>
      </c>
      <c r="D112" s="18" t="s">
        <v>578</v>
      </c>
      <c r="E112" s="18" t="s">
        <v>577</v>
      </c>
      <c r="F112" s="18" t="str">
        <f>RAW_DATA!F113</f>
        <v>WH-E</v>
      </c>
      <c r="G112" s="18">
        <f>RAW_DATA!G113</f>
        <v>230</v>
      </c>
      <c r="H112" s="18">
        <f>RAW_DATA!H113</f>
        <v>230</v>
      </c>
      <c r="I112" s="24">
        <f>RAW_DATA!I113</f>
        <v>7.2</v>
      </c>
      <c r="J112" s="24">
        <f>RAW_DATA!J113</f>
        <v>5.04</v>
      </c>
      <c r="K112" s="18">
        <f>RAW_DATA!K113</f>
        <v>3</v>
      </c>
      <c r="L112" s="24">
        <f>RAW_DATA!L113</f>
        <v>1647.06</v>
      </c>
      <c r="M112" s="18">
        <f t="shared" si="2"/>
        <v>1</v>
      </c>
      <c r="N112" s="18" t="str">
        <f t="shared" si="3"/>
        <v>On Time</v>
      </c>
    </row>
    <row r="113" spans="1:14" hidden="1" x14ac:dyDescent="0.3">
      <c r="A113" s="13" t="str">
        <f>RAW_DATA!A114</f>
        <v>ORD-0113</v>
      </c>
      <c r="B113" s="14">
        <v>45086</v>
      </c>
      <c r="C113" s="14">
        <v>45089</v>
      </c>
      <c r="D113" s="15" t="s">
        <v>578</v>
      </c>
      <c r="E113" s="15" t="s">
        <v>575</v>
      </c>
      <c r="F113" s="15" t="str">
        <f>RAW_DATA!F114</f>
        <v>WH-E</v>
      </c>
      <c r="G113" s="15">
        <f>RAW_DATA!G114</f>
        <v>279</v>
      </c>
      <c r="H113" s="15">
        <f>RAW_DATA!H114</f>
        <v>279</v>
      </c>
      <c r="I113" s="23">
        <f>RAW_DATA!I114</f>
        <v>17.91</v>
      </c>
      <c r="J113" s="23">
        <f>RAW_DATA!J114</f>
        <v>10.65</v>
      </c>
      <c r="K113" s="15">
        <f>RAW_DATA!K114</f>
        <v>3</v>
      </c>
      <c r="L113" s="23">
        <f>RAW_DATA!L114</f>
        <v>2867.15</v>
      </c>
      <c r="M113" s="15">
        <f t="shared" si="2"/>
        <v>3</v>
      </c>
      <c r="N113" s="15" t="str">
        <f t="shared" si="3"/>
        <v>On Time</v>
      </c>
    </row>
    <row r="114" spans="1:14" hidden="1" x14ac:dyDescent="0.3">
      <c r="A114" s="16" t="str">
        <f>RAW_DATA!A115</f>
        <v>ORD-0114</v>
      </c>
      <c r="B114" s="17">
        <v>45220</v>
      </c>
      <c r="C114" s="17">
        <v>45224</v>
      </c>
      <c r="D114" s="18" t="s">
        <v>211</v>
      </c>
      <c r="E114" s="18" t="s">
        <v>573</v>
      </c>
      <c r="F114" s="18" t="str">
        <f>RAW_DATA!F115</f>
        <v>WH-C</v>
      </c>
      <c r="G114" s="18">
        <f>RAW_DATA!G115</f>
        <v>307</v>
      </c>
      <c r="H114" s="18">
        <f>RAW_DATA!H115</f>
        <v>307</v>
      </c>
      <c r="I114" s="24">
        <f>RAW_DATA!I115</f>
        <v>15.49</v>
      </c>
      <c r="J114" s="24">
        <f>RAW_DATA!J115</f>
        <v>10.42</v>
      </c>
      <c r="K114" s="18">
        <f>RAW_DATA!K115</f>
        <v>6</v>
      </c>
      <c r="L114" s="24">
        <f>RAW_DATA!L115</f>
        <v>4112.62</v>
      </c>
      <c r="M114" s="18">
        <f t="shared" si="2"/>
        <v>4</v>
      </c>
      <c r="N114" s="18" t="str">
        <f t="shared" si="3"/>
        <v>On Time</v>
      </c>
    </row>
    <row r="115" spans="1:14" hidden="1" x14ac:dyDescent="0.3">
      <c r="A115" s="13" t="str">
        <f>RAW_DATA!A116</f>
        <v>ORD-0115</v>
      </c>
      <c r="B115" s="14">
        <v>44941</v>
      </c>
      <c r="C115" s="14">
        <v>44944</v>
      </c>
      <c r="D115" s="15" t="s">
        <v>578</v>
      </c>
      <c r="E115" s="15" t="s">
        <v>577</v>
      </c>
      <c r="F115" s="15" t="str">
        <f>RAW_DATA!F116</f>
        <v>WH-C</v>
      </c>
      <c r="G115" s="15">
        <f>RAW_DATA!G116</f>
        <v>178</v>
      </c>
      <c r="H115" s="15">
        <f>RAW_DATA!H116</f>
        <v>178</v>
      </c>
      <c r="I115" s="23">
        <f>RAW_DATA!I116</f>
        <v>6.06</v>
      </c>
      <c r="J115" s="23">
        <f>RAW_DATA!J116</f>
        <v>3.55</v>
      </c>
      <c r="K115" s="15">
        <f>RAW_DATA!K116</f>
        <v>3</v>
      </c>
      <c r="L115" s="23">
        <f>RAW_DATA!L116</f>
        <v>623.02</v>
      </c>
      <c r="M115" s="15">
        <f t="shared" si="2"/>
        <v>3</v>
      </c>
      <c r="N115" s="15" t="str">
        <f t="shared" si="3"/>
        <v>On Time</v>
      </c>
    </row>
    <row r="116" spans="1:14" hidden="1" x14ac:dyDescent="0.3">
      <c r="A116" s="16" t="str">
        <f>RAW_DATA!A117</f>
        <v>ORD-0116</v>
      </c>
      <c r="B116" s="17">
        <v>45251</v>
      </c>
      <c r="C116" s="17">
        <v>45256</v>
      </c>
      <c r="D116" s="18" t="s">
        <v>571</v>
      </c>
      <c r="E116" s="18" t="s">
        <v>573</v>
      </c>
      <c r="F116" s="18" t="str">
        <f>RAW_DATA!F117</f>
        <v>WH-B</v>
      </c>
      <c r="G116" s="18">
        <f>RAW_DATA!G117</f>
        <v>291</v>
      </c>
      <c r="H116" s="18">
        <f>RAW_DATA!H117</f>
        <v>291</v>
      </c>
      <c r="I116" s="24">
        <f>RAW_DATA!I117</f>
        <v>12.62</v>
      </c>
      <c r="J116" s="24">
        <f>RAW_DATA!J117</f>
        <v>7.8</v>
      </c>
      <c r="K116" s="18">
        <f>RAW_DATA!K117</f>
        <v>4</v>
      </c>
      <c r="L116" s="24">
        <f>RAW_DATA!L117</f>
        <v>2546.79</v>
      </c>
      <c r="M116" s="18">
        <f t="shared" si="2"/>
        <v>5</v>
      </c>
      <c r="N116" s="18" t="str">
        <f t="shared" si="3"/>
        <v>Late</v>
      </c>
    </row>
    <row r="117" spans="1:14" hidden="1" x14ac:dyDescent="0.3">
      <c r="A117" s="13" t="str">
        <f>RAW_DATA!A118</f>
        <v>ORD-0117</v>
      </c>
      <c r="B117" s="14">
        <v>44970</v>
      </c>
      <c r="C117" s="14">
        <v>44972</v>
      </c>
      <c r="D117" s="15" t="s">
        <v>211</v>
      </c>
      <c r="E117" s="15" t="s">
        <v>577</v>
      </c>
      <c r="F117" s="15" t="str">
        <f>RAW_DATA!F118</f>
        <v>WH-E</v>
      </c>
      <c r="G117" s="15">
        <f>RAW_DATA!G118</f>
        <v>100</v>
      </c>
      <c r="H117" s="15">
        <f>RAW_DATA!H118</f>
        <v>100</v>
      </c>
      <c r="I117" s="23">
        <f>RAW_DATA!I118</f>
        <v>4.9800000000000004</v>
      </c>
      <c r="J117" s="23">
        <f>RAW_DATA!J118</f>
        <v>2.82</v>
      </c>
      <c r="K117" s="15">
        <f>RAW_DATA!K118</f>
        <v>6</v>
      </c>
      <c r="L117" s="23">
        <f>RAW_DATA!L118</f>
        <v>328.77</v>
      </c>
      <c r="M117" s="15">
        <f t="shared" si="2"/>
        <v>2</v>
      </c>
      <c r="N117" s="15" t="str">
        <f t="shared" si="3"/>
        <v>On Time</v>
      </c>
    </row>
    <row r="118" spans="1:14" hidden="1" x14ac:dyDescent="0.3">
      <c r="A118" s="16" t="str">
        <f>RAW_DATA!A119</f>
        <v>ORD-0118</v>
      </c>
      <c r="B118" s="17">
        <v>45153</v>
      </c>
      <c r="C118" s="17">
        <v>45155</v>
      </c>
      <c r="D118" s="18" t="s">
        <v>571</v>
      </c>
      <c r="E118" s="18" t="s">
        <v>576</v>
      </c>
      <c r="F118" s="18" t="str">
        <f>RAW_DATA!F119</f>
        <v>WH-E</v>
      </c>
      <c r="G118" s="18">
        <f>RAW_DATA!G119</f>
        <v>282</v>
      </c>
      <c r="H118" s="18">
        <f>RAW_DATA!H119</f>
        <v>282</v>
      </c>
      <c r="I118" s="24">
        <f>RAW_DATA!I119</f>
        <v>21.16</v>
      </c>
      <c r="J118" s="24">
        <f>RAW_DATA!J119</f>
        <v>12.84</v>
      </c>
      <c r="K118" s="18">
        <f>RAW_DATA!K119</f>
        <v>4</v>
      </c>
      <c r="L118" s="24">
        <f>RAW_DATA!L119</f>
        <v>4732.82</v>
      </c>
      <c r="M118" s="18">
        <f t="shared" si="2"/>
        <v>2</v>
      </c>
      <c r="N118" s="18" t="str">
        <f t="shared" si="3"/>
        <v>On Time</v>
      </c>
    </row>
    <row r="119" spans="1:14" x14ac:dyDescent="0.3">
      <c r="A119" s="13" t="str">
        <f>RAW_DATA!A120</f>
        <v>ORD-0119</v>
      </c>
      <c r="B119" s="14">
        <v>44950</v>
      </c>
      <c r="C119" s="14">
        <v>44955</v>
      </c>
      <c r="D119" s="15" t="s">
        <v>570</v>
      </c>
      <c r="E119" s="15" t="s">
        <v>577</v>
      </c>
      <c r="F119" s="15" t="str">
        <f>RAW_DATA!F120</f>
        <v>WH-C</v>
      </c>
      <c r="G119" s="15">
        <f>RAW_DATA!G120</f>
        <v>48</v>
      </c>
      <c r="H119" s="15">
        <f>RAW_DATA!H120</f>
        <v>42</v>
      </c>
      <c r="I119" s="23">
        <f>RAW_DATA!I120</f>
        <v>8.1999999999999993</v>
      </c>
      <c r="J119" s="23">
        <f>RAW_DATA!J120</f>
        <v>5.77</v>
      </c>
      <c r="K119" s="15">
        <f>RAW_DATA!K120</f>
        <v>7</v>
      </c>
      <c r="L119" s="23">
        <f>RAW_DATA!L120</f>
        <v>376.25</v>
      </c>
      <c r="M119" s="15">
        <f t="shared" si="2"/>
        <v>5</v>
      </c>
      <c r="N119" s="15" t="str">
        <f t="shared" si="3"/>
        <v>On Time</v>
      </c>
    </row>
    <row r="120" spans="1:14" hidden="1" x14ac:dyDescent="0.3">
      <c r="A120" s="16" t="str">
        <f>RAW_DATA!A121</f>
        <v>ORD-0120</v>
      </c>
      <c r="B120" s="17">
        <v>44930</v>
      </c>
      <c r="C120" s="17">
        <v>44932</v>
      </c>
      <c r="D120" s="18" t="s">
        <v>579</v>
      </c>
      <c r="E120" s="18" t="s">
        <v>575</v>
      </c>
      <c r="F120" s="18" t="str">
        <f>RAW_DATA!F121</f>
        <v>WH-A</v>
      </c>
      <c r="G120" s="18">
        <f>RAW_DATA!G121</f>
        <v>109</v>
      </c>
      <c r="H120" s="18">
        <f>RAW_DATA!H121</f>
        <v>109</v>
      </c>
      <c r="I120" s="24">
        <f>RAW_DATA!I121</f>
        <v>16.79</v>
      </c>
      <c r="J120" s="24">
        <f>RAW_DATA!J121</f>
        <v>10.01</v>
      </c>
      <c r="K120" s="18">
        <f>RAW_DATA!K121</f>
        <v>3</v>
      </c>
      <c r="L120" s="24">
        <f>RAW_DATA!L121</f>
        <v>1347.75</v>
      </c>
      <c r="M120" s="18">
        <f t="shared" si="2"/>
        <v>2</v>
      </c>
      <c r="N120" s="18" t="str">
        <f t="shared" si="3"/>
        <v>On Time</v>
      </c>
    </row>
    <row r="121" spans="1:14" hidden="1" x14ac:dyDescent="0.3">
      <c r="A121" s="13" t="str">
        <f>RAW_DATA!A122</f>
        <v>ORD-0121</v>
      </c>
      <c r="B121" s="14">
        <v>44948</v>
      </c>
      <c r="C121" s="14">
        <v>44952</v>
      </c>
      <c r="D121" s="15" t="s">
        <v>211</v>
      </c>
      <c r="E121" s="15" t="s">
        <v>573</v>
      </c>
      <c r="F121" s="15" t="str">
        <f>RAW_DATA!F122</f>
        <v>WH-D</v>
      </c>
      <c r="G121" s="15">
        <f>RAW_DATA!G122</f>
        <v>59</v>
      </c>
      <c r="H121" s="15">
        <f>RAW_DATA!H122</f>
        <v>59</v>
      </c>
      <c r="I121" s="23">
        <f>RAW_DATA!I122</f>
        <v>13.75</v>
      </c>
      <c r="J121" s="23">
        <f>RAW_DATA!J122</f>
        <v>9.14</v>
      </c>
      <c r="K121" s="15">
        <f>RAW_DATA!K122</f>
        <v>6</v>
      </c>
      <c r="L121" s="23">
        <f>RAW_DATA!L122</f>
        <v>714.9</v>
      </c>
      <c r="M121" s="15">
        <f t="shared" si="2"/>
        <v>4</v>
      </c>
      <c r="N121" s="15" t="str">
        <f t="shared" si="3"/>
        <v>On Time</v>
      </c>
    </row>
    <row r="122" spans="1:14" hidden="1" x14ac:dyDescent="0.3">
      <c r="A122" s="16" t="str">
        <f>RAW_DATA!A123</f>
        <v>ORD-0122</v>
      </c>
      <c r="B122" s="17">
        <v>45134</v>
      </c>
      <c r="C122" s="17">
        <v>45137</v>
      </c>
      <c r="D122" s="18" t="s">
        <v>571</v>
      </c>
      <c r="E122" s="18" t="s">
        <v>575</v>
      </c>
      <c r="F122" s="18" t="str">
        <f>RAW_DATA!F123</f>
        <v>WH-A</v>
      </c>
      <c r="G122" s="18">
        <f>RAW_DATA!G123</f>
        <v>107</v>
      </c>
      <c r="H122" s="18">
        <f>RAW_DATA!H123</f>
        <v>107</v>
      </c>
      <c r="I122" s="24">
        <f>RAW_DATA!I123</f>
        <v>17.559999999999999</v>
      </c>
      <c r="J122" s="24">
        <f>RAW_DATA!J123</f>
        <v>12.58</v>
      </c>
      <c r="K122" s="18">
        <f>RAW_DATA!K123</f>
        <v>4</v>
      </c>
      <c r="L122" s="24">
        <f>RAW_DATA!L123</f>
        <v>1954.29</v>
      </c>
      <c r="M122" s="18">
        <f t="shared" si="2"/>
        <v>3</v>
      </c>
      <c r="N122" s="18" t="str">
        <f t="shared" si="3"/>
        <v>On Time</v>
      </c>
    </row>
    <row r="123" spans="1:14" hidden="1" x14ac:dyDescent="0.3">
      <c r="A123" s="13" t="str">
        <f>RAW_DATA!A124</f>
        <v>ORD-0123</v>
      </c>
      <c r="B123" s="14">
        <v>45051</v>
      </c>
      <c r="C123" s="14">
        <v>45055</v>
      </c>
      <c r="D123" s="15" t="s">
        <v>569</v>
      </c>
      <c r="E123" s="15" t="s">
        <v>576</v>
      </c>
      <c r="F123" s="15" t="str">
        <f>RAW_DATA!F124</f>
        <v>WH-A</v>
      </c>
      <c r="G123" s="15">
        <f>RAW_DATA!G124</f>
        <v>288</v>
      </c>
      <c r="H123" s="15">
        <f>RAW_DATA!H124</f>
        <v>288</v>
      </c>
      <c r="I123" s="23">
        <f>RAW_DATA!I124</f>
        <v>26.45</v>
      </c>
      <c r="J123" s="23">
        <f>RAW_DATA!J124</f>
        <v>18.489999999999998</v>
      </c>
      <c r="K123" s="15">
        <f>RAW_DATA!K124</f>
        <v>4</v>
      </c>
      <c r="L123" s="23">
        <f>RAW_DATA!L124</f>
        <v>5500.55</v>
      </c>
      <c r="M123" s="15">
        <f t="shared" si="2"/>
        <v>4</v>
      </c>
      <c r="N123" s="15" t="str">
        <f t="shared" si="3"/>
        <v>On Time</v>
      </c>
    </row>
    <row r="124" spans="1:14" hidden="1" x14ac:dyDescent="0.3">
      <c r="A124" s="16" t="str">
        <f>RAW_DATA!A125</f>
        <v>ORD-0124</v>
      </c>
      <c r="B124" s="17">
        <v>45251</v>
      </c>
      <c r="C124" s="17">
        <v>45252</v>
      </c>
      <c r="D124" s="18" t="s">
        <v>198</v>
      </c>
      <c r="E124" s="18" t="s">
        <v>573</v>
      </c>
      <c r="F124" s="18" t="str">
        <f>RAW_DATA!F125</f>
        <v>WH-E</v>
      </c>
      <c r="G124" s="18">
        <f>RAW_DATA!G125</f>
        <v>198</v>
      </c>
      <c r="H124" s="18">
        <f>RAW_DATA!H125</f>
        <v>198</v>
      </c>
      <c r="I124" s="24">
        <f>RAW_DATA!I125</f>
        <v>16.5</v>
      </c>
      <c r="J124" s="24">
        <f>RAW_DATA!J125</f>
        <v>11.2</v>
      </c>
      <c r="K124" s="18">
        <f>RAW_DATA!K125</f>
        <v>2</v>
      </c>
      <c r="L124" s="24">
        <f>RAW_DATA!L125</f>
        <v>2192.35</v>
      </c>
      <c r="M124" s="18">
        <f t="shared" si="2"/>
        <v>1</v>
      </c>
      <c r="N124" s="18" t="str">
        <f t="shared" si="3"/>
        <v>On Time</v>
      </c>
    </row>
    <row r="125" spans="1:14" hidden="1" x14ac:dyDescent="0.3">
      <c r="A125" s="13" t="str">
        <f>RAW_DATA!A126</f>
        <v>ORD-0125</v>
      </c>
      <c r="B125" s="14">
        <v>45028</v>
      </c>
      <c r="C125" s="14">
        <v>45030</v>
      </c>
      <c r="D125" s="15" t="s">
        <v>569</v>
      </c>
      <c r="E125" s="15" t="s">
        <v>574</v>
      </c>
      <c r="F125" s="15" t="str">
        <f>RAW_DATA!F126</f>
        <v>WH-C</v>
      </c>
      <c r="G125" s="15">
        <f>RAW_DATA!G126</f>
        <v>355</v>
      </c>
      <c r="H125" s="15">
        <f>RAW_DATA!H126</f>
        <v>355</v>
      </c>
      <c r="I125" s="23">
        <f>RAW_DATA!I126</f>
        <v>10.97</v>
      </c>
      <c r="J125" s="23">
        <f>RAW_DATA!J126</f>
        <v>7.41</v>
      </c>
      <c r="K125" s="15">
        <f>RAW_DATA!K126</f>
        <v>4</v>
      </c>
      <c r="L125" s="23">
        <f>RAW_DATA!L126</f>
        <v>3099.77</v>
      </c>
      <c r="M125" s="15">
        <f t="shared" si="2"/>
        <v>2</v>
      </c>
      <c r="N125" s="15" t="str">
        <f t="shared" si="3"/>
        <v>On Time</v>
      </c>
    </row>
    <row r="126" spans="1:14" x14ac:dyDescent="0.3">
      <c r="A126" s="16" t="str">
        <f>RAW_DATA!A127</f>
        <v>ORD-0126</v>
      </c>
      <c r="B126" s="17">
        <v>45092</v>
      </c>
      <c r="C126" s="17">
        <v>45098</v>
      </c>
      <c r="D126" s="18" t="s">
        <v>570</v>
      </c>
      <c r="E126" s="18" t="s">
        <v>577</v>
      </c>
      <c r="F126" s="18" t="str">
        <f>RAW_DATA!F127</f>
        <v>WH-E</v>
      </c>
      <c r="G126" s="18">
        <f>RAW_DATA!G127</f>
        <v>181</v>
      </c>
      <c r="H126" s="18">
        <f>RAW_DATA!H127</f>
        <v>181</v>
      </c>
      <c r="I126" s="24">
        <f>RAW_DATA!I127</f>
        <v>5.05</v>
      </c>
      <c r="J126" s="24">
        <f>RAW_DATA!J127</f>
        <v>3.22</v>
      </c>
      <c r="K126" s="18">
        <f>RAW_DATA!K127</f>
        <v>7</v>
      </c>
      <c r="L126" s="24">
        <f>RAW_DATA!L127</f>
        <v>630.42999999999995</v>
      </c>
      <c r="M126" s="18">
        <f t="shared" si="2"/>
        <v>6</v>
      </c>
      <c r="N126" s="18" t="str">
        <f t="shared" si="3"/>
        <v>On Time</v>
      </c>
    </row>
    <row r="127" spans="1:14" hidden="1" x14ac:dyDescent="0.3">
      <c r="A127" s="13" t="str">
        <f>RAW_DATA!A128</f>
        <v>ORD-0127</v>
      </c>
      <c r="B127" s="14">
        <v>45107</v>
      </c>
      <c r="C127" s="14">
        <v>45109</v>
      </c>
      <c r="D127" s="15" t="s">
        <v>579</v>
      </c>
      <c r="E127" s="15" t="s">
        <v>577</v>
      </c>
      <c r="F127" s="15" t="str">
        <f>RAW_DATA!F128</f>
        <v>WH-A</v>
      </c>
      <c r="G127" s="15">
        <f>RAW_DATA!G128</f>
        <v>256</v>
      </c>
      <c r="H127" s="15">
        <f>RAW_DATA!H128</f>
        <v>256</v>
      </c>
      <c r="I127" s="23">
        <f>RAW_DATA!I128</f>
        <v>5</v>
      </c>
      <c r="J127" s="23">
        <f>RAW_DATA!J128</f>
        <v>3.58</v>
      </c>
      <c r="K127" s="15">
        <f>RAW_DATA!K128</f>
        <v>3</v>
      </c>
      <c r="L127" s="23">
        <f>RAW_DATA!L128</f>
        <v>867.03</v>
      </c>
      <c r="M127" s="15">
        <f t="shared" si="2"/>
        <v>2</v>
      </c>
      <c r="N127" s="15" t="str">
        <f t="shared" si="3"/>
        <v>On Time</v>
      </c>
    </row>
    <row r="128" spans="1:14" hidden="1" x14ac:dyDescent="0.3">
      <c r="A128" s="16" t="str">
        <f>RAW_DATA!A129</f>
        <v>ORD-0128</v>
      </c>
      <c r="B128" s="17">
        <v>45186</v>
      </c>
      <c r="C128" s="17">
        <v>45187</v>
      </c>
      <c r="D128" s="18" t="s">
        <v>569</v>
      </c>
      <c r="E128" s="18" t="s">
        <v>577</v>
      </c>
      <c r="F128" s="18" t="str">
        <f>RAW_DATA!F129</f>
        <v>WH-E</v>
      </c>
      <c r="G128" s="18">
        <f>RAW_DATA!G129</f>
        <v>250</v>
      </c>
      <c r="H128" s="18">
        <f>RAW_DATA!H129</f>
        <v>250</v>
      </c>
      <c r="I128" s="24">
        <f>RAW_DATA!I129</f>
        <v>6.86</v>
      </c>
      <c r="J128" s="24">
        <f>RAW_DATA!J129</f>
        <v>4.03</v>
      </c>
      <c r="K128" s="18">
        <f>RAW_DATA!K129</f>
        <v>4</v>
      </c>
      <c r="L128" s="24">
        <f>RAW_DATA!L129</f>
        <v>1272.48</v>
      </c>
      <c r="M128" s="18">
        <f t="shared" si="2"/>
        <v>1</v>
      </c>
      <c r="N128" s="18" t="str">
        <f t="shared" si="3"/>
        <v>On Time</v>
      </c>
    </row>
    <row r="129" spans="1:14" hidden="1" x14ac:dyDescent="0.3">
      <c r="A129" s="13" t="str">
        <f>RAW_DATA!A130</f>
        <v>ORD-0129</v>
      </c>
      <c r="B129" s="14">
        <v>44979</v>
      </c>
      <c r="C129" s="14">
        <v>44981</v>
      </c>
      <c r="D129" s="15" t="s">
        <v>198</v>
      </c>
      <c r="E129" s="15" t="s">
        <v>573</v>
      </c>
      <c r="F129" s="15" t="str">
        <f>RAW_DATA!F130</f>
        <v>WH-D</v>
      </c>
      <c r="G129" s="15">
        <f>RAW_DATA!G130</f>
        <v>385</v>
      </c>
      <c r="H129" s="15">
        <f>RAW_DATA!H130</f>
        <v>385</v>
      </c>
      <c r="I129" s="23">
        <f>RAW_DATA!I130</f>
        <v>14.25</v>
      </c>
      <c r="J129" s="23">
        <f>RAW_DATA!J130</f>
        <v>7.95</v>
      </c>
      <c r="K129" s="15">
        <f>RAW_DATA!K130</f>
        <v>2</v>
      </c>
      <c r="L129" s="23">
        <f>RAW_DATA!L130</f>
        <v>4054.19</v>
      </c>
      <c r="M129" s="15">
        <f t="shared" si="2"/>
        <v>2</v>
      </c>
      <c r="N129" s="15" t="str">
        <f t="shared" si="3"/>
        <v>On Time</v>
      </c>
    </row>
    <row r="130" spans="1:14" x14ac:dyDescent="0.3">
      <c r="A130" s="16" t="str">
        <f>RAW_DATA!A131</f>
        <v>ORD-0130</v>
      </c>
      <c r="B130" s="17">
        <v>45239</v>
      </c>
      <c r="C130" s="17">
        <v>45242</v>
      </c>
      <c r="D130" s="18" t="s">
        <v>570</v>
      </c>
      <c r="E130" s="18" t="s">
        <v>577</v>
      </c>
      <c r="F130" s="18" t="str">
        <f>RAW_DATA!F131</f>
        <v>WH-E</v>
      </c>
      <c r="G130" s="18">
        <f>RAW_DATA!G131</f>
        <v>164</v>
      </c>
      <c r="H130" s="18">
        <f>RAW_DATA!H131</f>
        <v>164</v>
      </c>
      <c r="I130" s="24">
        <f>RAW_DATA!I131</f>
        <v>7.59</v>
      </c>
      <c r="J130" s="24">
        <f>RAW_DATA!J131</f>
        <v>5.21</v>
      </c>
      <c r="K130" s="18">
        <f>RAW_DATA!K131</f>
        <v>7</v>
      </c>
      <c r="L130" s="24">
        <f>RAW_DATA!L131</f>
        <v>795.84</v>
      </c>
      <c r="M130" s="18">
        <f t="shared" si="2"/>
        <v>3</v>
      </c>
      <c r="N130" s="18" t="str">
        <f t="shared" si="3"/>
        <v>On Time</v>
      </c>
    </row>
    <row r="131" spans="1:14" hidden="1" x14ac:dyDescent="0.3">
      <c r="A131" s="13" t="str">
        <f>RAW_DATA!A132</f>
        <v>ORD-0131</v>
      </c>
      <c r="B131" s="14">
        <v>44975</v>
      </c>
      <c r="C131" s="14">
        <v>44979</v>
      </c>
      <c r="D131" s="15" t="s">
        <v>211</v>
      </c>
      <c r="E131" s="15" t="s">
        <v>573</v>
      </c>
      <c r="F131" s="15" t="str">
        <f>RAW_DATA!F132</f>
        <v>WH-C</v>
      </c>
      <c r="G131" s="15">
        <f>RAW_DATA!G132</f>
        <v>165</v>
      </c>
      <c r="H131" s="15">
        <f>RAW_DATA!H132</f>
        <v>175</v>
      </c>
      <c r="I131" s="23">
        <f>RAW_DATA!I132</f>
        <v>15.73</v>
      </c>
      <c r="J131" s="23">
        <f>RAW_DATA!J132</f>
        <v>11.69</v>
      </c>
      <c r="K131" s="15">
        <f>RAW_DATA!K132</f>
        <v>6</v>
      </c>
      <c r="L131" s="23">
        <f>RAW_DATA!L132</f>
        <v>2433.48</v>
      </c>
      <c r="M131" s="15">
        <f t="shared" ref="M131:M194" si="4">C131-B131</f>
        <v>4</v>
      </c>
      <c r="N131" s="15" t="str">
        <f t="shared" ref="N131:N194" si="5">IF(M131&lt;=K131,"On Time", "Late")</f>
        <v>On Time</v>
      </c>
    </row>
    <row r="132" spans="1:14" hidden="1" x14ac:dyDescent="0.3">
      <c r="A132" s="16" t="str">
        <f>RAW_DATA!A133</f>
        <v>ORD-0132</v>
      </c>
      <c r="B132" s="17">
        <v>45225</v>
      </c>
      <c r="C132" s="17">
        <v>45227</v>
      </c>
      <c r="D132" s="18" t="s">
        <v>198</v>
      </c>
      <c r="E132" s="18" t="s">
        <v>575</v>
      </c>
      <c r="F132" s="18" t="str">
        <f>RAW_DATA!F133</f>
        <v>WH-A</v>
      </c>
      <c r="G132" s="18">
        <f>RAW_DATA!G133</f>
        <v>178</v>
      </c>
      <c r="H132" s="18">
        <f>RAW_DATA!H133</f>
        <v>178</v>
      </c>
      <c r="I132" s="24">
        <f>RAW_DATA!I133</f>
        <v>18.29</v>
      </c>
      <c r="J132" s="24">
        <f>RAW_DATA!J133</f>
        <v>11.49</v>
      </c>
      <c r="K132" s="18">
        <f>RAW_DATA!K133</f>
        <v>2</v>
      </c>
      <c r="L132" s="24">
        <f>RAW_DATA!L133</f>
        <v>2570.89</v>
      </c>
      <c r="M132" s="18">
        <f t="shared" si="4"/>
        <v>2</v>
      </c>
      <c r="N132" s="18" t="str">
        <f t="shared" si="5"/>
        <v>On Time</v>
      </c>
    </row>
    <row r="133" spans="1:14" hidden="1" x14ac:dyDescent="0.3">
      <c r="A133" s="13" t="str">
        <f>RAW_DATA!A134</f>
        <v>ORD-0133</v>
      </c>
      <c r="B133" s="14">
        <v>45119</v>
      </c>
      <c r="C133" s="14">
        <v>45122</v>
      </c>
      <c r="D133" s="15" t="s">
        <v>569</v>
      </c>
      <c r="E133" s="15" t="s">
        <v>575</v>
      </c>
      <c r="F133" s="15" t="str">
        <f>RAW_DATA!F134</f>
        <v>WH-E</v>
      </c>
      <c r="G133" s="15">
        <f>RAW_DATA!G134</f>
        <v>85</v>
      </c>
      <c r="H133" s="15">
        <f>RAW_DATA!H134</f>
        <v>85</v>
      </c>
      <c r="I133" s="23">
        <f>RAW_DATA!I134</f>
        <v>19.46</v>
      </c>
      <c r="J133" s="23">
        <f>RAW_DATA!J134</f>
        <v>13.58</v>
      </c>
      <c r="K133" s="15">
        <f>RAW_DATA!K134</f>
        <v>4</v>
      </c>
      <c r="L133" s="23">
        <f>RAW_DATA!L134</f>
        <v>1513.57</v>
      </c>
      <c r="M133" s="15">
        <f t="shared" si="4"/>
        <v>3</v>
      </c>
      <c r="N133" s="15" t="str">
        <f t="shared" si="5"/>
        <v>On Time</v>
      </c>
    </row>
    <row r="134" spans="1:14" hidden="1" x14ac:dyDescent="0.3">
      <c r="A134" s="16" t="str">
        <f>RAW_DATA!A135</f>
        <v>ORD-0134</v>
      </c>
      <c r="B134" s="17">
        <v>45112</v>
      </c>
      <c r="C134" s="17">
        <v>45115</v>
      </c>
      <c r="D134" s="18" t="s">
        <v>569</v>
      </c>
      <c r="E134" s="18" t="s">
        <v>576</v>
      </c>
      <c r="F134" s="18" t="str">
        <f>RAW_DATA!F135</f>
        <v>WH-E</v>
      </c>
      <c r="G134" s="18">
        <f>RAW_DATA!G135</f>
        <v>112</v>
      </c>
      <c r="H134" s="18">
        <f>RAW_DATA!H135</f>
        <v>112</v>
      </c>
      <c r="I134" s="24">
        <f>RAW_DATA!I135</f>
        <v>20.100000000000001</v>
      </c>
      <c r="J134" s="24">
        <f>RAW_DATA!J135</f>
        <v>14.13</v>
      </c>
      <c r="K134" s="18">
        <f>RAW_DATA!K135</f>
        <v>4</v>
      </c>
      <c r="L134" s="24">
        <f>RAW_DATA!L135</f>
        <v>1606.62</v>
      </c>
      <c r="M134" s="18">
        <f t="shared" si="4"/>
        <v>3</v>
      </c>
      <c r="N134" s="18" t="str">
        <f t="shared" si="5"/>
        <v>On Time</v>
      </c>
    </row>
    <row r="135" spans="1:14" hidden="1" x14ac:dyDescent="0.3">
      <c r="A135" s="13" t="str">
        <f>RAW_DATA!A136</f>
        <v>ORD-0135</v>
      </c>
      <c r="B135" s="14">
        <v>45078</v>
      </c>
      <c r="C135" s="14">
        <v>45079</v>
      </c>
      <c r="D135" s="15" t="s">
        <v>198</v>
      </c>
      <c r="E135" s="15" t="s">
        <v>574</v>
      </c>
      <c r="F135" s="15" t="str">
        <f>RAW_DATA!F136</f>
        <v>WH-A</v>
      </c>
      <c r="G135" s="15">
        <f>RAW_DATA!G136</f>
        <v>279</v>
      </c>
      <c r="H135" s="15">
        <f>RAW_DATA!H136</f>
        <v>279</v>
      </c>
      <c r="I135" s="23">
        <f>RAW_DATA!I136</f>
        <v>10.41</v>
      </c>
      <c r="J135" s="23">
        <f>RAW_DATA!J136</f>
        <v>7.57</v>
      </c>
      <c r="K135" s="15">
        <f>RAW_DATA!K136</f>
        <v>2</v>
      </c>
      <c r="L135" s="23">
        <f>RAW_DATA!L136</f>
        <v>1948.66</v>
      </c>
      <c r="M135" s="15">
        <f t="shared" si="4"/>
        <v>1</v>
      </c>
      <c r="N135" s="15" t="str">
        <f t="shared" si="5"/>
        <v>On Time</v>
      </c>
    </row>
    <row r="136" spans="1:14" hidden="1" x14ac:dyDescent="0.3">
      <c r="A136" s="16" t="str">
        <f>RAW_DATA!A137</f>
        <v>ORD-0136</v>
      </c>
      <c r="B136" s="17">
        <v>45232</v>
      </c>
      <c r="C136" s="17">
        <v>45234</v>
      </c>
      <c r="D136" s="18" t="s">
        <v>211</v>
      </c>
      <c r="E136" s="18" t="s">
        <v>577</v>
      </c>
      <c r="F136" s="18" t="str">
        <f>RAW_DATA!F137</f>
        <v>WH-B</v>
      </c>
      <c r="G136" s="18">
        <f>RAW_DATA!G137</f>
        <v>112</v>
      </c>
      <c r="H136" s="18">
        <f>RAW_DATA!H137</f>
        <v>112</v>
      </c>
      <c r="I136" s="24">
        <f>RAW_DATA!I137</f>
        <v>7.58</v>
      </c>
      <c r="J136" s="24">
        <f>RAW_DATA!J137</f>
        <v>5.4</v>
      </c>
      <c r="K136" s="18">
        <f>RAW_DATA!K137</f>
        <v>6</v>
      </c>
      <c r="L136" s="24">
        <f>RAW_DATA!L137</f>
        <v>604.39</v>
      </c>
      <c r="M136" s="18">
        <f t="shared" si="4"/>
        <v>2</v>
      </c>
      <c r="N136" s="18" t="str">
        <f t="shared" si="5"/>
        <v>On Time</v>
      </c>
    </row>
    <row r="137" spans="1:14" x14ac:dyDescent="0.3">
      <c r="A137" s="13" t="str">
        <f>RAW_DATA!A138</f>
        <v>ORD-0137</v>
      </c>
      <c r="B137" s="14">
        <v>45113</v>
      </c>
      <c r="C137" s="14">
        <v>45115</v>
      </c>
      <c r="D137" s="15" t="s">
        <v>570</v>
      </c>
      <c r="E137" s="15" t="s">
        <v>573</v>
      </c>
      <c r="F137" s="15" t="str">
        <f>RAW_DATA!F138</f>
        <v>WH-D</v>
      </c>
      <c r="G137" s="15">
        <f>RAW_DATA!G138</f>
        <v>247</v>
      </c>
      <c r="H137" s="15">
        <f>RAW_DATA!H138</f>
        <v>247</v>
      </c>
      <c r="I137" s="23">
        <f>RAW_DATA!I138</f>
        <v>15.02</v>
      </c>
      <c r="J137" s="23">
        <f>RAW_DATA!J138</f>
        <v>10.62</v>
      </c>
      <c r="K137" s="15">
        <f>RAW_DATA!K138</f>
        <v>7</v>
      </c>
      <c r="L137" s="23">
        <f>RAW_DATA!L138</f>
        <v>2729.12</v>
      </c>
      <c r="M137" s="15">
        <f t="shared" si="4"/>
        <v>2</v>
      </c>
      <c r="N137" s="15" t="str">
        <f t="shared" si="5"/>
        <v>On Time</v>
      </c>
    </row>
    <row r="138" spans="1:14" hidden="1" x14ac:dyDescent="0.3">
      <c r="A138" s="16" t="str">
        <f>RAW_DATA!A139</f>
        <v>ORD-0138</v>
      </c>
      <c r="B138" s="17">
        <v>45026</v>
      </c>
      <c r="C138" s="17">
        <v>45031</v>
      </c>
      <c r="D138" s="18" t="s">
        <v>572</v>
      </c>
      <c r="E138" s="18" t="s">
        <v>575</v>
      </c>
      <c r="F138" s="18" t="str">
        <f>RAW_DATA!F139</f>
        <v>WH-D</v>
      </c>
      <c r="G138" s="18">
        <f>RAW_DATA!G139</f>
        <v>245</v>
      </c>
      <c r="H138" s="18">
        <f>RAW_DATA!H139</f>
        <v>245</v>
      </c>
      <c r="I138" s="24">
        <f>RAW_DATA!I139</f>
        <v>14.54</v>
      </c>
      <c r="J138" s="24">
        <f>RAW_DATA!J139</f>
        <v>9.11</v>
      </c>
      <c r="K138" s="18">
        <f>RAW_DATA!K139</f>
        <v>5</v>
      </c>
      <c r="L138" s="24">
        <f>RAW_DATA!L139</f>
        <v>2715.11</v>
      </c>
      <c r="M138" s="18">
        <f t="shared" si="4"/>
        <v>5</v>
      </c>
      <c r="N138" s="18" t="str">
        <f t="shared" si="5"/>
        <v>On Time</v>
      </c>
    </row>
    <row r="139" spans="1:14" hidden="1" x14ac:dyDescent="0.3">
      <c r="A139" s="13" t="str">
        <f>RAW_DATA!A140</f>
        <v>ORD-0139</v>
      </c>
      <c r="B139" s="14">
        <v>44997</v>
      </c>
      <c r="C139" s="14">
        <v>44998</v>
      </c>
      <c r="D139" s="15" t="s">
        <v>198</v>
      </c>
      <c r="E139" s="15" t="s">
        <v>574</v>
      </c>
      <c r="F139" s="15" t="str">
        <f>RAW_DATA!F140</f>
        <v>WH-E</v>
      </c>
      <c r="G139" s="15">
        <f>RAW_DATA!G140</f>
        <v>348</v>
      </c>
      <c r="H139" s="15">
        <f>RAW_DATA!H140</f>
        <v>348</v>
      </c>
      <c r="I139" s="23">
        <f>RAW_DATA!I140</f>
        <v>8.18</v>
      </c>
      <c r="J139" s="23">
        <f>RAW_DATA!J140</f>
        <v>6.03</v>
      </c>
      <c r="K139" s="15">
        <f>RAW_DATA!K140</f>
        <v>2</v>
      </c>
      <c r="L139" s="23">
        <f>RAW_DATA!L140</f>
        <v>2784.3</v>
      </c>
      <c r="M139" s="15">
        <f t="shared" si="4"/>
        <v>1</v>
      </c>
      <c r="N139" s="15" t="str">
        <f t="shared" si="5"/>
        <v>On Time</v>
      </c>
    </row>
    <row r="140" spans="1:14" hidden="1" x14ac:dyDescent="0.3">
      <c r="A140" s="16" t="str">
        <f>RAW_DATA!A141</f>
        <v>ORD-0140</v>
      </c>
      <c r="B140" s="17">
        <v>45009</v>
      </c>
      <c r="C140" s="17">
        <v>45011</v>
      </c>
      <c r="D140" s="18" t="s">
        <v>569</v>
      </c>
      <c r="E140" s="18" t="s">
        <v>575</v>
      </c>
      <c r="F140" s="18" t="str">
        <f>RAW_DATA!F141</f>
        <v>WH-A</v>
      </c>
      <c r="G140" s="18">
        <f>RAW_DATA!G141</f>
        <v>243</v>
      </c>
      <c r="H140" s="18">
        <f>RAW_DATA!H141</f>
        <v>243</v>
      </c>
      <c r="I140" s="24">
        <f>RAW_DATA!I141</f>
        <v>20.190000000000001</v>
      </c>
      <c r="J140" s="24">
        <f>RAW_DATA!J141</f>
        <v>14.4</v>
      </c>
      <c r="K140" s="18">
        <f>RAW_DATA!K141</f>
        <v>4</v>
      </c>
      <c r="L140" s="24">
        <f>RAW_DATA!L141</f>
        <v>5006.58</v>
      </c>
      <c r="M140" s="18">
        <f t="shared" si="4"/>
        <v>2</v>
      </c>
      <c r="N140" s="18" t="str">
        <f t="shared" si="5"/>
        <v>On Time</v>
      </c>
    </row>
    <row r="141" spans="1:14" hidden="1" x14ac:dyDescent="0.3">
      <c r="A141" s="13" t="str">
        <f>RAW_DATA!A142</f>
        <v>ORD-0141</v>
      </c>
      <c r="B141" s="14">
        <v>45129</v>
      </c>
      <c r="C141" s="14">
        <v>45130</v>
      </c>
      <c r="D141" s="15" t="s">
        <v>578</v>
      </c>
      <c r="E141" s="15" t="s">
        <v>576</v>
      </c>
      <c r="F141" s="15" t="str">
        <f>RAW_DATA!F142</f>
        <v>WH-A</v>
      </c>
      <c r="G141" s="15">
        <f>RAW_DATA!G142</f>
        <v>217</v>
      </c>
      <c r="H141" s="15">
        <f>RAW_DATA!H142</f>
        <v>217</v>
      </c>
      <c r="I141" s="23">
        <f>RAW_DATA!I142</f>
        <v>20.5</v>
      </c>
      <c r="J141" s="23">
        <f>RAW_DATA!J142</f>
        <v>11.39</v>
      </c>
      <c r="K141" s="15">
        <f>RAW_DATA!K142</f>
        <v>3</v>
      </c>
      <c r="L141" s="23">
        <f>RAW_DATA!L142</f>
        <v>3604.86</v>
      </c>
      <c r="M141" s="15">
        <f t="shared" si="4"/>
        <v>1</v>
      </c>
      <c r="N141" s="15" t="str">
        <f t="shared" si="5"/>
        <v>On Time</v>
      </c>
    </row>
    <row r="142" spans="1:14" hidden="1" x14ac:dyDescent="0.3">
      <c r="A142" s="16" t="str">
        <f>RAW_DATA!A143</f>
        <v>ORD-0142</v>
      </c>
      <c r="B142" s="17">
        <v>44946</v>
      </c>
      <c r="C142" s="17">
        <v>44950</v>
      </c>
      <c r="D142" s="18" t="s">
        <v>211</v>
      </c>
      <c r="E142" s="18" t="s">
        <v>574</v>
      </c>
      <c r="F142" s="18" t="str">
        <f>RAW_DATA!F143</f>
        <v>WH-B</v>
      </c>
      <c r="G142" s="18">
        <f>RAW_DATA!G143</f>
        <v>376</v>
      </c>
      <c r="H142" s="18">
        <f>RAW_DATA!H143</f>
        <v>376</v>
      </c>
      <c r="I142" s="24">
        <f>RAW_DATA!I143</f>
        <v>10.039999999999999</v>
      </c>
      <c r="J142" s="24">
        <f>RAW_DATA!J143</f>
        <v>6.46</v>
      </c>
      <c r="K142" s="18">
        <f>RAW_DATA!K143</f>
        <v>6</v>
      </c>
      <c r="L142" s="24">
        <f>RAW_DATA!L143</f>
        <v>3082.86</v>
      </c>
      <c r="M142" s="18">
        <f t="shared" si="4"/>
        <v>4</v>
      </c>
      <c r="N142" s="18" t="str">
        <f t="shared" si="5"/>
        <v>On Time</v>
      </c>
    </row>
    <row r="143" spans="1:14" hidden="1" x14ac:dyDescent="0.3">
      <c r="A143" s="13" t="str">
        <f>RAW_DATA!A144</f>
        <v>ORD-0143</v>
      </c>
      <c r="B143" s="14">
        <v>45037</v>
      </c>
      <c r="C143" s="14">
        <v>45041</v>
      </c>
      <c r="D143" s="15" t="s">
        <v>569</v>
      </c>
      <c r="E143" s="15" t="s">
        <v>573</v>
      </c>
      <c r="F143" s="15" t="str">
        <f>RAW_DATA!F144</f>
        <v>WH-C</v>
      </c>
      <c r="G143" s="15">
        <f>RAW_DATA!G144</f>
        <v>76</v>
      </c>
      <c r="H143" s="15">
        <f>RAW_DATA!H144</f>
        <v>76</v>
      </c>
      <c r="I143" s="23">
        <f>RAW_DATA!I144</f>
        <v>11.31</v>
      </c>
      <c r="J143" s="23">
        <f>RAW_DATA!J144</f>
        <v>6.5</v>
      </c>
      <c r="K143" s="15">
        <f>RAW_DATA!K144</f>
        <v>4</v>
      </c>
      <c r="L143" s="23">
        <f>RAW_DATA!L144</f>
        <v>515.27</v>
      </c>
      <c r="M143" s="15">
        <f t="shared" si="4"/>
        <v>4</v>
      </c>
      <c r="N143" s="15" t="str">
        <f t="shared" si="5"/>
        <v>On Time</v>
      </c>
    </row>
    <row r="144" spans="1:14" x14ac:dyDescent="0.3">
      <c r="A144" s="16" t="str">
        <f>RAW_DATA!A145</f>
        <v>ORD-0144</v>
      </c>
      <c r="B144" s="17">
        <v>45182</v>
      </c>
      <c r="C144" s="17">
        <v>45183</v>
      </c>
      <c r="D144" s="18" t="s">
        <v>570</v>
      </c>
      <c r="E144" s="18" t="s">
        <v>573</v>
      </c>
      <c r="F144" s="18" t="str">
        <f>RAW_DATA!F145</f>
        <v>WH-A</v>
      </c>
      <c r="G144" s="18">
        <f>RAW_DATA!G145</f>
        <v>343</v>
      </c>
      <c r="H144" s="18">
        <f>RAW_DATA!H145</f>
        <v>343</v>
      </c>
      <c r="I144" s="24">
        <f>RAW_DATA!I145</f>
        <v>11.34</v>
      </c>
      <c r="J144" s="24">
        <f>RAW_DATA!J145</f>
        <v>6.56</v>
      </c>
      <c r="K144" s="18">
        <f>RAW_DATA!K145</f>
        <v>7</v>
      </c>
      <c r="L144" s="24">
        <f>RAW_DATA!L145</f>
        <v>2604.5700000000002</v>
      </c>
      <c r="M144" s="18">
        <f t="shared" si="4"/>
        <v>1</v>
      </c>
      <c r="N144" s="18" t="str">
        <f t="shared" si="5"/>
        <v>On Time</v>
      </c>
    </row>
    <row r="145" spans="1:14" hidden="1" x14ac:dyDescent="0.3">
      <c r="A145" s="13" t="str">
        <f>RAW_DATA!A146</f>
        <v>ORD-0145</v>
      </c>
      <c r="B145" s="14">
        <v>45140</v>
      </c>
      <c r="C145" s="14">
        <v>45146</v>
      </c>
      <c r="D145" s="15" t="s">
        <v>211</v>
      </c>
      <c r="E145" s="15" t="s">
        <v>574</v>
      </c>
      <c r="F145" s="15" t="str">
        <f>RAW_DATA!F146</f>
        <v>WH-E</v>
      </c>
      <c r="G145" s="15">
        <f>RAW_DATA!G146</f>
        <v>63</v>
      </c>
      <c r="H145" s="15">
        <f>RAW_DATA!H146</f>
        <v>63</v>
      </c>
      <c r="I145" s="23">
        <f>RAW_DATA!I146</f>
        <v>8.1300000000000008</v>
      </c>
      <c r="J145" s="23">
        <f>RAW_DATA!J146</f>
        <v>6.02</v>
      </c>
      <c r="K145" s="15">
        <f>RAW_DATA!K146</f>
        <v>6</v>
      </c>
      <c r="L145" s="23">
        <f>RAW_DATA!L146</f>
        <v>465.14</v>
      </c>
      <c r="M145" s="15">
        <f t="shared" si="4"/>
        <v>6</v>
      </c>
      <c r="N145" s="15" t="str">
        <f t="shared" si="5"/>
        <v>On Time</v>
      </c>
    </row>
    <row r="146" spans="1:14" hidden="1" x14ac:dyDescent="0.3">
      <c r="A146" s="16" t="str">
        <f>RAW_DATA!A147</f>
        <v>ORD-0146</v>
      </c>
      <c r="B146" s="17">
        <v>44949</v>
      </c>
      <c r="C146" s="17">
        <v>44951</v>
      </c>
      <c r="D146" s="15" t="s">
        <v>578</v>
      </c>
      <c r="E146" s="18" t="s">
        <v>576</v>
      </c>
      <c r="F146" s="18" t="str">
        <f>RAW_DATA!F147</f>
        <v>WH-D</v>
      </c>
      <c r="G146" s="18">
        <f>RAW_DATA!G147</f>
        <v>149</v>
      </c>
      <c r="H146" s="18">
        <f>RAW_DATA!H147</f>
        <v>149</v>
      </c>
      <c r="I146" s="24">
        <f>RAW_DATA!I147</f>
        <v>20.29</v>
      </c>
      <c r="J146" s="24">
        <f>RAW_DATA!J147</f>
        <v>11.43</v>
      </c>
      <c r="K146" s="18">
        <f>RAW_DATA!K147</f>
        <v>3</v>
      </c>
      <c r="L146" s="24">
        <f>RAW_DATA!L147</f>
        <v>1779.16</v>
      </c>
      <c r="M146" s="18">
        <f t="shared" si="4"/>
        <v>2</v>
      </c>
      <c r="N146" s="18" t="str">
        <f t="shared" si="5"/>
        <v>On Time</v>
      </c>
    </row>
    <row r="147" spans="1:14" hidden="1" x14ac:dyDescent="0.3">
      <c r="A147" s="13" t="str">
        <f>RAW_DATA!A148</f>
        <v>ORD-0147</v>
      </c>
      <c r="B147" s="14">
        <v>44995</v>
      </c>
      <c r="C147" s="14">
        <v>44998</v>
      </c>
      <c r="D147" s="15" t="s">
        <v>569</v>
      </c>
      <c r="E147" s="15" t="s">
        <v>577</v>
      </c>
      <c r="F147" s="15" t="str">
        <f>RAW_DATA!F148</f>
        <v>WH-C</v>
      </c>
      <c r="G147" s="15">
        <f>RAW_DATA!G148</f>
        <v>349</v>
      </c>
      <c r="H147" s="15">
        <f>RAW_DATA!H148</f>
        <v>349</v>
      </c>
      <c r="I147" s="23">
        <f>RAW_DATA!I148</f>
        <v>7.6</v>
      </c>
      <c r="J147" s="23">
        <f>RAW_DATA!J148</f>
        <v>4.8899999999999997</v>
      </c>
      <c r="K147" s="15">
        <f>RAW_DATA!K148</f>
        <v>4</v>
      </c>
      <c r="L147" s="23">
        <f>RAW_DATA!L148</f>
        <v>2248</v>
      </c>
      <c r="M147" s="15">
        <f t="shared" si="4"/>
        <v>3</v>
      </c>
      <c r="N147" s="15" t="str">
        <f t="shared" si="5"/>
        <v>On Time</v>
      </c>
    </row>
    <row r="148" spans="1:14" hidden="1" x14ac:dyDescent="0.3">
      <c r="A148" s="16" t="str">
        <f>RAW_DATA!A150</f>
        <v>ORD-0149</v>
      </c>
      <c r="B148" s="17">
        <v>45056</v>
      </c>
      <c r="C148" s="17">
        <v>45058</v>
      </c>
      <c r="D148" s="18" t="s">
        <v>571</v>
      </c>
      <c r="E148" s="18" t="s">
        <v>577</v>
      </c>
      <c r="F148" s="18" t="str">
        <f>RAW_DATA!F150</f>
        <v>WH-D</v>
      </c>
      <c r="G148" s="18">
        <f>RAW_DATA!G150</f>
        <v>166</v>
      </c>
      <c r="H148" s="18">
        <f>RAW_DATA!H150</f>
        <v>166</v>
      </c>
      <c r="I148" s="24">
        <f>RAW_DATA!I150</f>
        <v>7.61</v>
      </c>
      <c r="J148" s="24">
        <f>RAW_DATA!J150</f>
        <v>5.5</v>
      </c>
      <c r="K148" s="18">
        <f>RAW_DATA!K150</f>
        <v>4</v>
      </c>
      <c r="L148" s="24">
        <f>RAW_DATA!L150</f>
        <v>1003.53</v>
      </c>
      <c r="M148" s="18">
        <f t="shared" si="4"/>
        <v>2</v>
      </c>
      <c r="N148" s="18" t="str">
        <f t="shared" si="5"/>
        <v>On Time</v>
      </c>
    </row>
    <row r="149" spans="1:14" hidden="1" x14ac:dyDescent="0.3">
      <c r="A149" s="13" t="str">
        <f>RAW_DATA!A151</f>
        <v>ORD-0150</v>
      </c>
      <c r="B149" s="14">
        <v>45131</v>
      </c>
      <c r="C149" s="14">
        <v>45135</v>
      </c>
      <c r="D149" s="15" t="s">
        <v>569</v>
      </c>
      <c r="E149" s="15" t="s">
        <v>575</v>
      </c>
      <c r="F149" s="15" t="str">
        <f>RAW_DATA!F151</f>
        <v>WH-D</v>
      </c>
      <c r="G149" s="15">
        <f>RAW_DATA!G151</f>
        <v>193</v>
      </c>
      <c r="H149" s="15">
        <f>RAW_DATA!H151</f>
        <v>193</v>
      </c>
      <c r="I149" s="23">
        <f>RAW_DATA!I151</f>
        <v>16.47</v>
      </c>
      <c r="J149" s="23">
        <f>RAW_DATA!J151</f>
        <v>10.7</v>
      </c>
      <c r="K149" s="15">
        <f>RAW_DATA!K151</f>
        <v>4</v>
      </c>
      <c r="L149" s="23">
        <f>RAW_DATA!L151</f>
        <v>3003.87</v>
      </c>
      <c r="M149" s="15">
        <f t="shared" si="4"/>
        <v>4</v>
      </c>
      <c r="N149" s="15" t="str">
        <f t="shared" si="5"/>
        <v>On Time</v>
      </c>
    </row>
    <row r="150" spans="1:14" hidden="1" x14ac:dyDescent="0.3">
      <c r="A150" s="16" t="str">
        <f>RAW_DATA!A152</f>
        <v>ORD-0151</v>
      </c>
      <c r="B150" s="17">
        <v>44967</v>
      </c>
      <c r="C150" s="17">
        <v>44968</v>
      </c>
      <c r="D150" s="18" t="s">
        <v>579</v>
      </c>
      <c r="E150" s="18" t="s">
        <v>573</v>
      </c>
      <c r="F150" s="18" t="str">
        <f>RAW_DATA!F152</f>
        <v>WH-D</v>
      </c>
      <c r="G150" s="18">
        <f>RAW_DATA!G152</f>
        <v>299</v>
      </c>
      <c r="H150" s="18">
        <f>RAW_DATA!H152</f>
        <v>299</v>
      </c>
      <c r="I150" s="24">
        <f>RAW_DATA!I152</f>
        <v>10.34</v>
      </c>
      <c r="J150" s="24">
        <f>RAW_DATA!J152</f>
        <v>6.37</v>
      </c>
      <c r="K150" s="18">
        <f>RAW_DATA!K152</f>
        <v>3</v>
      </c>
      <c r="L150" s="24">
        <f>RAW_DATA!L152</f>
        <v>2052.02</v>
      </c>
      <c r="M150" s="18">
        <f t="shared" si="4"/>
        <v>1</v>
      </c>
      <c r="N150" s="18" t="str">
        <f t="shared" si="5"/>
        <v>On Time</v>
      </c>
    </row>
    <row r="151" spans="1:14" x14ac:dyDescent="0.3">
      <c r="A151" s="13" t="str">
        <f>RAW_DATA!A153</f>
        <v>ORD-0152</v>
      </c>
      <c r="B151" s="14">
        <v>45012</v>
      </c>
      <c r="C151" s="14">
        <v>45015</v>
      </c>
      <c r="D151" s="15" t="s">
        <v>570</v>
      </c>
      <c r="E151" s="15" t="s">
        <v>577</v>
      </c>
      <c r="F151" s="15" t="str">
        <f>RAW_DATA!F153</f>
        <v>WH-D</v>
      </c>
      <c r="G151" s="15">
        <f>RAW_DATA!G153</f>
        <v>248</v>
      </c>
      <c r="H151" s="15">
        <f>RAW_DATA!H153</f>
        <v>218</v>
      </c>
      <c r="I151" s="23">
        <f>RAW_DATA!I153</f>
        <v>7.01</v>
      </c>
      <c r="J151" s="23">
        <f>RAW_DATA!J153</f>
        <v>4.47</v>
      </c>
      <c r="K151" s="15">
        <f>RAW_DATA!K153</f>
        <v>7</v>
      </c>
      <c r="L151" s="23">
        <f>RAW_DATA!L153</f>
        <v>1423.04</v>
      </c>
      <c r="M151" s="15">
        <f t="shared" si="4"/>
        <v>3</v>
      </c>
      <c r="N151" s="15" t="str">
        <f t="shared" si="5"/>
        <v>On Time</v>
      </c>
    </row>
    <row r="152" spans="1:14" hidden="1" x14ac:dyDescent="0.3">
      <c r="A152" s="16" t="str">
        <f>RAW_DATA!A154</f>
        <v>ORD-0153</v>
      </c>
      <c r="B152" s="17">
        <v>45113</v>
      </c>
      <c r="C152" s="17">
        <v>45116</v>
      </c>
      <c r="D152" s="15" t="s">
        <v>578</v>
      </c>
      <c r="E152" s="18" t="s">
        <v>573</v>
      </c>
      <c r="F152" s="18" t="str">
        <f>RAW_DATA!F154</f>
        <v>WH-D</v>
      </c>
      <c r="G152" s="18">
        <f>RAW_DATA!G154</f>
        <v>367</v>
      </c>
      <c r="H152" s="18">
        <f>RAW_DATA!H154</f>
        <v>367</v>
      </c>
      <c r="I152" s="24">
        <f>RAW_DATA!I154</f>
        <v>9.82</v>
      </c>
      <c r="J152" s="24">
        <f>RAW_DATA!J154</f>
        <v>7.07</v>
      </c>
      <c r="K152" s="18">
        <f>RAW_DATA!K154</f>
        <v>3</v>
      </c>
      <c r="L152" s="24">
        <f>RAW_DATA!L154</f>
        <v>3390.88</v>
      </c>
      <c r="M152" s="18">
        <f t="shared" si="4"/>
        <v>3</v>
      </c>
      <c r="N152" s="18" t="str">
        <f t="shared" si="5"/>
        <v>On Time</v>
      </c>
    </row>
    <row r="153" spans="1:14" x14ac:dyDescent="0.3">
      <c r="A153" s="13" t="str">
        <f>RAW_DATA!A155</f>
        <v>ORD-0154</v>
      </c>
      <c r="B153" s="14">
        <v>44961</v>
      </c>
      <c r="C153" s="14">
        <v>44967</v>
      </c>
      <c r="D153" s="15" t="s">
        <v>570</v>
      </c>
      <c r="E153" s="15" t="s">
        <v>573</v>
      </c>
      <c r="F153" s="15" t="str">
        <f>RAW_DATA!F155</f>
        <v>WH-B</v>
      </c>
      <c r="G153" s="15">
        <f>RAW_DATA!G155</f>
        <v>207</v>
      </c>
      <c r="H153" s="15">
        <f>RAW_DATA!H155</f>
        <v>207</v>
      </c>
      <c r="I153" s="23">
        <f>RAW_DATA!I155</f>
        <v>16.440000000000001</v>
      </c>
      <c r="J153" s="23">
        <f>RAW_DATA!J155</f>
        <v>9.15</v>
      </c>
      <c r="K153" s="15">
        <f>RAW_DATA!K155</f>
        <v>7</v>
      </c>
      <c r="L153" s="23">
        <f>RAW_DATA!L155</f>
        <v>1879.02</v>
      </c>
      <c r="M153" s="15">
        <f t="shared" si="4"/>
        <v>6</v>
      </c>
      <c r="N153" s="15" t="str">
        <f t="shared" si="5"/>
        <v>On Time</v>
      </c>
    </row>
    <row r="154" spans="1:14" x14ac:dyDescent="0.3">
      <c r="A154" s="16" t="str">
        <f>RAW_DATA!A156</f>
        <v>ORD-0155</v>
      </c>
      <c r="B154" s="17">
        <v>45154</v>
      </c>
      <c r="C154" s="17">
        <v>45159</v>
      </c>
      <c r="D154" s="18" t="s">
        <v>570</v>
      </c>
      <c r="E154" s="18" t="s">
        <v>575</v>
      </c>
      <c r="F154" s="18" t="str">
        <f>RAW_DATA!F156</f>
        <v>WH-C</v>
      </c>
      <c r="G154" s="18">
        <f>RAW_DATA!G156</f>
        <v>90</v>
      </c>
      <c r="H154" s="18">
        <f>RAW_DATA!H156</f>
        <v>90</v>
      </c>
      <c r="I154" s="24">
        <f>RAW_DATA!I156</f>
        <v>15.58</v>
      </c>
      <c r="J154" s="24">
        <f>RAW_DATA!J156</f>
        <v>10.59</v>
      </c>
      <c r="K154" s="18">
        <f>RAW_DATA!K156</f>
        <v>7</v>
      </c>
      <c r="L154" s="24">
        <f>RAW_DATA!L156</f>
        <v>1000.53</v>
      </c>
      <c r="M154" s="18">
        <f t="shared" si="4"/>
        <v>5</v>
      </c>
      <c r="N154" s="18" t="str">
        <f t="shared" si="5"/>
        <v>On Time</v>
      </c>
    </row>
    <row r="155" spans="1:14" hidden="1" x14ac:dyDescent="0.3">
      <c r="A155" s="13" t="str">
        <f>RAW_DATA!A157</f>
        <v>ORD-0156</v>
      </c>
      <c r="B155" s="14">
        <v>45182</v>
      </c>
      <c r="C155" s="14">
        <v>45183</v>
      </c>
      <c r="D155" s="15" t="s">
        <v>569</v>
      </c>
      <c r="E155" s="15" t="s">
        <v>573</v>
      </c>
      <c r="F155" s="15" t="str">
        <f>RAW_DATA!F157</f>
        <v>WH-B</v>
      </c>
      <c r="G155" s="15">
        <f>RAW_DATA!G157</f>
        <v>154</v>
      </c>
      <c r="H155" s="15">
        <f>RAW_DATA!H157</f>
        <v>154</v>
      </c>
      <c r="I155" s="23">
        <f>RAW_DATA!I157</f>
        <v>14.67</v>
      </c>
      <c r="J155" s="23">
        <f>RAW_DATA!J157</f>
        <v>8.6999999999999993</v>
      </c>
      <c r="K155" s="15">
        <f>RAW_DATA!K157</f>
        <v>4</v>
      </c>
      <c r="L155" s="23">
        <f>RAW_DATA!L157</f>
        <v>1697.7</v>
      </c>
      <c r="M155" s="15">
        <f t="shared" si="4"/>
        <v>1</v>
      </c>
      <c r="N155" s="15" t="str">
        <f t="shared" si="5"/>
        <v>On Time</v>
      </c>
    </row>
    <row r="156" spans="1:14" x14ac:dyDescent="0.3">
      <c r="A156" s="16" t="str">
        <f>RAW_DATA!A158</f>
        <v>ORD-0157</v>
      </c>
      <c r="B156" s="17">
        <v>44996</v>
      </c>
      <c r="C156" s="17">
        <v>45000</v>
      </c>
      <c r="D156" s="18" t="s">
        <v>570</v>
      </c>
      <c r="E156" s="18" t="s">
        <v>574</v>
      </c>
      <c r="F156" s="18" t="str">
        <f>RAW_DATA!F158</f>
        <v>WH-A</v>
      </c>
      <c r="G156" s="18">
        <f>RAW_DATA!G158</f>
        <v>108</v>
      </c>
      <c r="H156" s="18">
        <f>RAW_DATA!H158</f>
        <v>108</v>
      </c>
      <c r="I156" s="24">
        <f>RAW_DATA!I158</f>
        <v>8.5399999999999991</v>
      </c>
      <c r="J156" s="24">
        <f>RAW_DATA!J158</f>
        <v>4.8499999999999996</v>
      </c>
      <c r="K156" s="18">
        <f>RAW_DATA!K158</f>
        <v>7</v>
      </c>
      <c r="L156" s="24">
        <f>RAW_DATA!L158</f>
        <v>685.74</v>
      </c>
      <c r="M156" s="18">
        <f t="shared" si="4"/>
        <v>4</v>
      </c>
      <c r="N156" s="18" t="str">
        <f t="shared" si="5"/>
        <v>On Time</v>
      </c>
    </row>
    <row r="157" spans="1:14" hidden="1" x14ac:dyDescent="0.3">
      <c r="A157" s="13" t="str">
        <f>RAW_DATA!A159</f>
        <v>ORD-0158</v>
      </c>
      <c r="B157" s="14">
        <v>45208</v>
      </c>
      <c r="C157" s="14">
        <v>45211</v>
      </c>
      <c r="D157" s="15" t="s">
        <v>211</v>
      </c>
      <c r="E157" s="15" t="s">
        <v>575</v>
      </c>
      <c r="F157" s="15" t="str">
        <f>RAW_DATA!F159</f>
        <v>WH-A</v>
      </c>
      <c r="G157" s="15">
        <f>RAW_DATA!G159</f>
        <v>100</v>
      </c>
      <c r="H157" s="15">
        <f>RAW_DATA!H159</f>
        <v>100</v>
      </c>
      <c r="I157" s="23">
        <f>RAW_DATA!I159</f>
        <v>20.350000000000001</v>
      </c>
      <c r="J157" s="23">
        <f>RAW_DATA!J159</f>
        <v>13.79</v>
      </c>
      <c r="K157" s="15">
        <f>RAW_DATA!K159</f>
        <v>6</v>
      </c>
      <c r="L157" s="23">
        <f>RAW_DATA!L159</f>
        <v>1897.8</v>
      </c>
      <c r="M157" s="15">
        <f t="shared" si="4"/>
        <v>3</v>
      </c>
      <c r="N157" s="15" t="str">
        <f t="shared" si="5"/>
        <v>On Time</v>
      </c>
    </row>
    <row r="158" spans="1:14" hidden="1" x14ac:dyDescent="0.3">
      <c r="A158" s="16" t="str">
        <f>RAW_DATA!A160</f>
        <v>ORD-0159</v>
      </c>
      <c r="B158" s="17">
        <v>44998</v>
      </c>
      <c r="C158" s="17">
        <v>45002</v>
      </c>
      <c r="D158" s="18" t="s">
        <v>572</v>
      </c>
      <c r="E158" s="18" t="s">
        <v>573</v>
      </c>
      <c r="F158" s="18" t="str">
        <f>RAW_DATA!F160</f>
        <v>WH-B</v>
      </c>
      <c r="G158" s="18">
        <f>RAW_DATA!G160</f>
        <v>33</v>
      </c>
      <c r="H158" s="18">
        <f>RAW_DATA!H160</f>
        <v>33</v>
      </c>
      <c r="I158" s="24">
        <f>RAW_DATA!I160</f>
        <v>13.72</v>
      </c>
      <c r="J158" s="24">
        <f>RAW_DATA!J160</f>
        <v>8.83</v>
      </c>
      <c r="K158" s="18">
        <f>RAW_DATA!K160</f>
        <v>5</v>
      </c>
      <c r="L158" s="24">
        <f>RAW_DATA!L160</f>
        <v>434.11</v>
      </c>
      <c r="M158" s="18">
        <f t="shared" si="4"/>
        <v>4</v>
      </c>
      <c r="N158" s="18" t="str">
        <f t="shared" si="5"/>
        <v>On Time</v>
      </c>
    </row>
    <row r="159" spans="1:14" hidden="1" x14ac:dyDescent="0.3">
      <c r="A159" s="13" t="str">
        <f>RAW_DATA!A161</f>
        <v>ORD-0160</v>
      </c>
      <c r="B159" s="14">
        <v>44960</v>
      </c>
      <c r="C159" s="14">
        <v>44962</v>
      </c>
      <c r="D159" s="15" t="s">
        <v>198</v>
      </c>
      <c r="E159" s="15" t="s">
        <v>577</v>
      </c>
      <c r="F159" s="15" t="str">
        <f>RAW_DATA!F161</f>
        <v>WH-A</v>
      </c>
      <c r="G159" s="15">
        <f>RAW_DATA!G161</f>
        <v>289</v>
      </c>
      <c r="H159" s="15">
        <f>RAW_DATA!H161</f>
        <v>289</v>
      </c>
      <c r="I159" s="23">
        <f>RAW_DATA!I161</f>
        <v>6.27</v>
      </c>
      <c r="J159" s="23">
        <f>RAW_DATA!J161</f>
        <v>4.17</v>
      </c>
      <c r="K159" s="15">
        <f>RAW_DATA!K161</f>
        <v>2</v>
      </c>
      <c r="L159" s="23">
        <f>RAW_DATA!L161</f>
        <v>1175.24</v>
      </c>
      <c r="M159" s="15">
        <f t="shared" si="4"/>
        <v>2</v>
      </c>
      <c r="N159" s="15" t="str">
        <f t="shared" si="5"/>
        <v>On Time</v>
      </c>
    </row>
    <row r="160" spans="1:14" hidden="1" x14ac:dyDescent="0.3">
      <c r="A160" s="16" t="str">
        <f>RAW_DATA!A162</f>
        <v>ORD-0161</v>
      </c>
      <c r="B160" s="17">
        <v>45165</v>
      </c>
      <c r="C160" s="17">
        <v>45168</v>
      </c>
      <c r="D160" s="18" t="s">
        <v>211</v>
      </c>
      <c r="E160" s="18" t="s">
        <v>573</v>
      </c>
      <c r="F160" s="18" t="str">
        <f>RAW_DATA!F162</f>
        <v>WH-D</v>
      </c>
      <c r="G160" s="18">
        <f>RAW_DATA!G162</f>
        <v>85</v>
      </c>
      <c r="H160" s="18">
        <f>RAW_DATA!H162</f>
        <v>85</v>
      </c>
      <c r="I160" s="24">
        <f>RAW_DATA!I162</f>
        <v>15.22</v>
      </c>
      <c r="J160" s="24">
        <f>RAW_DATA!J162</f>
        <v>10.32</v>
      </c>
      <c r="K160" s="18">
        <f>RAW_DATA!K162</f>
        <v>6</v>
      </c>
      <c r="L160" s="24">
        <f>RAW_DATA!L162</f>
        <v>885.25</v>
      </c>
      <c r="M160" s="18">
        <f t="shared" si="4"/>
        <v>3</v>
      </c>
      <c r="N160" s="18" t="str">
        <f t="shared" si="5"/>
        <v>On Time</v>
      </c>
    </row>
    <row r="161" spans="1:14" hidden="1" x14ac:dyDescent="0.3">
      <c r="A161" s="13" t="str">
        <f>RAW_DATA!A163</f>
        <v>ORD-0162</v>
      </c>
      <c r="B161" s="14">
        <v>44955</v>
      </c>
      <c r="C161" s="14">
        <v>44956</v>
      </c>
      <c r="D161" s="15" t="s">
        <v>198</v>
      </c>
      <c r="E161" s="15" t="s">
        <v>576</v>
      </c>
      <c r="F161" s="15" t="str">
        <f>RAW_DATA!F163</f>
        <v>WH-E</v>
      </c>
      <c r="G161" s="15">
        <f>RAW_DATA!G163</f>
        <v>175</v>
      </c>
      <c r="H161" s="15">
        <f>RAW_DATA!H163</f>
        <v>175</v>
      </c>
      <c r="I161" s="23">
        <f>RAW_DATA!I163</f>
        <v>19.87</v>
      </c>
      <c r="J161" s="23">
        <f>RAW_DATA!J163</f>
        <v>13.75</v>
      </c>
      <c r="K161" s="15">
        <f>RAW_DATA!K163</f>
        <v>2</v>
      </c>
      <c r="L161" s="23">
        <f>RAW_DATA!L163</f>
        <v>2665.2</v>
      </c>
      <c r="M161" s="15">
        <f t="shared" si="4"/>
        <v>1</v>
      </c>
      <c r="N161" s="15" t="str">
        <f t="shared" si="5"/>
        <v>On Time</v>
      </c>
    </row>
    <row r="162" spans="1:14" hidden="1" x14ac:dyDescent="0.3">
      <c r="A162" s="16" t="str">
        <f>RAW_DATA!A164</f>
        <v>ORD-0163</v>
      </c>
      <c r="B162" s="17">
        <v>45027</v>
      </c>
      <c r="C162" s="17">
        <v>45030</v>
      </c>
      <c r="D162" s="18" t="s">
        <v>579</v>
      </c>
      <c r="E162" s="18" t="s">
        <v>573</v>
      </c>
      <c r="F162" s="18" t="str">
        <f>RAW_DATA!F164</f>
        <v>WH-C</v>
      </c>
      <c r="G162" s="18">
        <f>RAW_DATA!G164</f>
        <v>160</v>
      </c>
      <c r="H162" s="18">
        <f>RAW_DATA!H164</f>
        <v>160</v>
      </c>
      <c r="I162" s="24">
        <f>RAW_DATA!I164</f>
        <v>11.78</v>
      </c>
      <c r="J162" s="24">
        <f>RAW_DATA!J164</f>
        <v>7.74</v>
      </c>
      <c r="K162" s="18">
        <f>RAW_DATA!K164</f>
        <v>3</v>
      </c>
      <c r="L162" s="24">
        <f>RAW_DATA!L164</f>
        <v>1487.99</v>
      </c>
      <c r="M162" s="18">
        <f t="shared" si="4"/>
        <v>3</v>
      </c>
      <c r="N162" s="18" t="str">
        <f t="shared" si="5"/>
        <v>On Time</v>
      </c>
    </row>
    <row r="163" spans="1:14" hidden="1" x14ac:dyDescent="0.3">
      <c r="A163" s="13" t="str">
        <f>RAW_DATA!A165</f>
        <v>ORD-0164</v>
      </c>
      <c r="B163" s="14">
        <v>45005</v>
      </c>
      <c r="C163" s="14">
        <v>45007</v>
      </c>
      <c r="D163" s="15" t="s">
        <v>198</v>
      </c>
      <c r="E163" s="15" t="s">
        <v>577</v>
      </c>
      <c r="F163" s="15" t="str">
        <f>RAW_DATA!F165</f>
        <v>WH-E</v>
      </c>
      <c r="G163" s="15">
        <f>RAW_DATA!G165</f>
        <v>308</v>
      </c>
      <c r="H163" s="15">
        <f>RAW_DATA!H165</f>
        <v>218</v>
      </c>
      <c r="I163" s="23">
        <f>RAW_DATA!I165</f>
        <v>5.09</v>
      </c>
      <c r="J163" s="23">
        <f>RAW_DATA!J165</f>
        <v>3.77</v>
      </c>
      <c r="K163" s="15">
        <f>RAW_DATA!K165</f>
        <v>2</v>
      </c>
      <c r="L163" s="23">
        <f>RAW_DATA!L165</f>
        <v>1582.21</v>
      </c>
      <c r="M163" s="15">
        <f t="shared" si="4"/>
        <v>2</v>
      </c>
      <c r="N163" s="15" t="str">
        <f t="shared" si="5"/>
        <v>On Time</v>
      </c>
    </row>
    <row r="164" spans="1:14" hidden="1" x14ac:dyDescent="0.3">
      <c r="A164" s="16" t="str">
        <f>RAW_DATA!A166</f>
        <v>ORD-0165</v>
      </c>
      <c r="B164" s="17">
        <v>45140</v>
      </c>
      <c r="C164" s="17">
        <v>45141</v>
      </c>
      <c r="D164" s="18" t="s">
        <v>579</v>
      </c>
      <c r="E164" s="18" t="s">
        <v>574</v>
      </c>
      <c r="F164" s="18" t="str">
        <f>RAW_DATA!F166</f>
        <v>WH-E</v>
      </c>
      <c r="G164" s="18">
        <f>RAW_DATA!G166</f>
        <v>274</v>
      </c>
      <c r="H164" s="18">
        <f>RAW_DATA!H166</f>
        <v>274</v>
      </c>
      <c r="I164" s="24">
        <f>RAW_DATA!I166</f>
        <v>9.02</v>
      </c>
      <c r="J164" s="24">
        <f>RAW_DATA!J166</f>
        <v>6.12</v>
      </c>
      <c r="K164" s="18">
        <f>RAW_DATA!K166</f>
        <v>3</v>
      </c>
      <c r="L164" s="24">
        <f>RAW_DATA!L166</f>
        <v>1813.14</v>
      </c>
      <c r="M164" s="18">
        <f t="shared" si="4"/>
        <v>1</v>
      </c>
      <c r="N164" s="18" t="str">
        <f t="shared" si="5"/>
        <v>On Time</v>
      </c>
    </row>
    <row r="165" spans="1:14" hidden="1" x14ac:dyDescent="0.3">
      <c r="A165" s="13" t="str">
        <f>RAW_DATA!A167</f>
        <v>ORD-0166</v>
      </c>
      <c r="B165" s="14">
        <v>45159</v>
      </c>
      <c r="C165" s="14">
        <v>45160</v>
      </c>
      <c r="D165" s="15" t="s">
        <v>572</v>
      </c>
      <c r="E165" s="15" t="s">
        <v>576</v>
      </c>
      <c r="F165" s="15" t="str">
        <f>RAW_DATA!F167</f>
        <v>WH-C</v>
      </c>
      <c r="G165" s="15">
        <f>RAW_DATA!G167</f>
        <v>100</v>
      </c>
      <c r="H165" s="15">
        <f>RAW_DATA!H167</f>
        <v>100</v>
      </c>
      <c r="I165" s="23">
        <f>RAW_DATA!I167</f>
        <v>21.81</v>
      </c>
      <c r="J165" s="23">
        <f>RAW_DATA!J167</f>
        <v>12.89</v>
      </c>
      <c r="K165" s="15">
        <f>RAW_DATA!K167</f>
        <v>5</v>
      </c>
      <c r="L165" s="23">
        <f>RAW_DATA!L167</f>
        <v>1629.29</v>
      </c>
      <c r="M165" s="15">
        <f t="shared" si="4"/>
        <v>1</v>
      </c>
      <c r="N165" s="15" t="str">
        <f t="shared" si="5"/>
        <v>On Time</v>
      </c>
    </row>
    <row r="166" spans="1:14" hidden="1" x14ac:dyDescent="0.3">
      <c r="A166" s="16" t="str">
        <f>RAW_DATA!A168</f>
        <v>ORD-0167</v>
      </c>
      <c r="B166" s="17">
        <v>45131</v>
      </c>
      <c r="C166" s="17">
        <v>45134</v>
      </c>
      <c r="D166" s="18" t="s">
        <v>211</v>
      </c>
      <c r="E166" s="18" t="s">
        <v>575</v>
      </c>
      <c r="F166" s="18" t="str">
        <f>RAW_DATA!F168</f>
        <v>WH-C</v>
      </c>
      <c r="G166" s="18">
        <f>RAW_DATA!G168</f>
        <v>283</v>
      </c>
      <c r="H166" s="18">
        <f>RAW_DATA!H168</f>
        <v>283</v>
      </c>
      <c r="I166" s="24">
        <f>RAW_DATA!I168</f>
        <v>14.87</v>
      </c>
      <c r="J166" s="24">
        <f>RAW_DATA!J168</f>
        <v>9.57</v>
      </c>
      <c r="K166" s="18">
        <f>RAW_DATA!K168</f>
        <v>6</v>
      </c>
      <c r="L166" s="24">
        <f>RAW_DATA!L168</f>
        <v>2872.12</v>
      </c>
      <c r="M166" s="18">
        <f t="shared" si="4"/>
        <v>3</v>
      </c>
      <c r="N166" s="18" t="str">
        <f t="shared" si="5"/>
        <v>On Time</v>
      </c>
    </row>
    <row r="167" spans="1:14" hidden="1" x14ac:dyDescent="0.3">
      <c r="A167" s="13" t="str">
        <f>RAW_DATA!A169</f>
        <v>ORD-0168</v>
      </c>
      <c r="B167" s="14">
        <v>44952</v>
      </c>
      <c r="C167" s="14">
        <v>44956</v>
      </c>
      <c r="D167" s="15" t="s">
        <v>572</v>
      </c>
      <c r="E167" s="15" t="s">
        <v>574</v>
      </c>
      <c r="F167" s="15" t="str">
        <f>RAW_DATA!F169</f>
        <v>WH-A</v>
      </c>
      <c r="G167" s="15">
        <f>RAW_DATA!G169</f>
        <v>335</v>
      </c>
      <c r="H167" s="15">
        <f>RAW_DATA!H169</f>
        <v>362</v>
      </c>
      <c r="I167" s="23">
        <f>RAW_DATA!I169</f>
        <v>11.02</v>
      </c>
      <c r="J167" s="23">
        <f>RAW_DATA!J169</f>
        <v>8.0500000000000007</v>
      </c>
      <c r="K167" s="15">
        <f>RAW_DATA!K169</f>
        <v>5</v>
      </c>
      <c r="L167" s="23">
        <f>RAW_DATA!L169</f>
        <v>3743.32</v>
      </c>
      <c r="M167" s="15">
        <f t="shared" si="4"/>
        <v>4</v>
      </c>
      <c r="N167" s="15" t="str">
        <f t="shared" si="5"/>
        <v>On Time</v>
      </c>
    </row>
    <row r="168" spans="1:14" hidden="1" x14ac:dyDescent="0.3">
      <c r="A168" s="16" t="str">
        <f>RAW_DATA!A170</f>
        <v>ORD-0169</v>
      </c>
      <c r="B168" s="17">
        <v>45182</v>
      </c>
      <c r="C168" s="17">
        <v>45192</v>
      </c>
      <c r="D168" s="18" t="s">
        <v>211</v>
      </c>
      <c r="E168" s="18" t="s">
        <v>574</v>
      </c>
      <c r="F168" s="18" t="str">
        <f>RAW_DATA!F170</f>
        <v>WH-B</v>
      </c>
      <c r="G168" s="18">
        <f>RAW_DATA!G170</f>
        <v>275</v>
      </c>
      <c r="H168" s="18">
        <f>RAW_DATA!H170</f>
        <v>275</v>
      </c>
      <c r="I168" s="24">
        <f>RAW_DATA!I170</f>
        <v>8.7899999999999991</v>
      </c>
      <c r="J168" s="24">
        <f>RAW_DATA!J170</f>
        <v>4.99</v>
      </c>
      <c r="K168" s="18">
        <f>RAW_DATA!K170</f>
        <v>6</v>
      </c>
      <c r="L168" s="24">
        <f>RAW_DATA!L170</f>
        <v>1558.8</v>
      </c>
      <c r="M168" s="18">
        <f t="shared" si="4"/>
        <v>10</v>
      </c>
      <c r="N168" s="18" t="str">
        <f t="shared" si="5"/>
        <v>Late</v>
      </c>
    </row>
    <row r="169" spans="1:14" x14ac:dyDescent="0.3">
      <c r="A169" s="13" t="str">
        <f>RAW_DATA!A171</f>
        <v>ORD-0170</v>
      </c>
      <c r="B169" s="14">
        <v>45225</v>
      </c>
      <c r="C169" s="14">
        <v>45226</v>
      </c>
      <c r="D169" s="15" t="s">
        <v>570</v>
      </c>
      <c r="E169" s="15" t="s">
        <v>574</v>
      </c>
      <c r="F169" s="15" t="str">
        <f>RAW_DATA!F171</f>
        <v>WH-B</v>
      </c>
      <c r="G169" s="15">
        <f>RAW_DATA!G171</f>
        <v>164</v>
      </c>
      <c r="H169" s="15">
        <f>RAW_DATA!H171</f>
        <v>164</v>
      </c>
      <c r="I169" s="23">
        <f>RAW_DATA!I171</f>
        <v>10.64</v>
      </c>
      <c r="J169" s="23">
        <f>RAW_DATA!J171</f>
        <v>7.24</v>
      </c>
      <c r="K169" s="15">
        <f>RAW_DATA!K171</f>
        <v>7</v>
      </c>
      <c r="L169" s="23">
        <f>RAW_DATA!L171</f>
        <v>1403.88</v>
      </c>
      <c r="M169" s="15">
        <f t="shared" si="4"/>
        <v>1</v>
      </c>
      <c r="N169" s="15" t="str">
        <f t="shared" si="5"/>
        <v>On Time</v>
      </c>
    </row>
    <row r="170" spans="1:14" hidden="1" x14ac:dyDescent="0.3">
      <c r="A170" s="16" t="str">
        <f>RAW_DATA!A172</f>
        <v>ORD-0171</v>
      </c>
      <c r="B170" s="17">
        <v>44995</v>
      </c>
      <c r="C170" s="17">
        <v>45004</v>
      </c>
      <c r="D170" s="15" t="s">
        <v>578</v>
      </c>
      <c r="E170" s="18" t="s">
        <v>573</v>
      </c>
      <c r="F170" s="18" t="str">
        <f>RAW_DATA!F172</f>
        <v>WH-D</v>
      </c>
      <c r="G170" s="18">
        <f>RAW_DATA!G172</f>
        <v>207</v>
      </c>
      <c r="H170" s="18">
        <f>RAW_DATA!H172</f>
        <v>207</v>
      </c>
      <c r="I170" s="24" t="str">
        <f>RAW_DATA!I172</f>
        <v>$12.23</v>
      </c>
      <c r="J170" s="24">
        <f>RAW_DATA!J172</f>
        <v>7.71</v>
      </c>
      <c r="K170" s="18">
        <f>RAW_DATA!K172</f>
        <v>3</v>
      </c>
      <c r="L170" s="24">
        <f>RAW_DATA!L172</f>
        <v>1982.46</v>
      </c>
      <c r="M170" s="18">
        <f t="shared" si="4"/>
        <v>9</v>
      </c>
      <c r="N170" s="18" t="str">
        <f t="shared" si="5"/>
        <v>Late</v>
      </c>
    </row>
    <row r="171" spans="1:14" hidden="1" x14ac:dyDescent="0.3">
      <c r="A171" s="13" t="str">
        <f>RAW_DATA!A173</f>
        <v>ORD-0172</v>
      </c>
      <c r="B171" s="14">
        <v>45074</v>
      </c>
      <c r="C171" s="14">
        <v>45079</v>
      </c>
      <c r="D171" s="15" t="s">
        <v>572</v>
      </c>
      <c r="E171" s="15" t="s">
        <v>575</v>
      </c>
      <c r="F171" s="15" t="str">
        <f>RAW_DATA!F173</f>
        <v>WH-E</v>
      </c>
      <c r="G171" s="15">
        <f>RAW_DATA!G173</f>
        <v>250</v>
      </c>
      <c r="H171" s="15">
        <f>RAW_DATA!H173</f>
        <v>250</v>
      </c>
      <c r="I171" s="23">
        <f>RAW_DATA!I173</f>
        <v>14.52</v>
      </c>
      <c r="J171" s="23">
        <f>RAW_DATA!J173</f>
        <v>10.86</v>
      </c>
      <c r="K171" s="15">
        <f>RAW_DATA!K173</f>
        <v>5</v>
      </c>
      <c r="L171" s="23">
        <f>RAW_DATA!L173</f>
        <v>3551.87</v>
      </c>
      <c r="M171" s="15">
        <f t="shared" si="4"/>
        <v>5</v>
      </c>
      <c r="N171" s="15" t="str">
        <f t="shared" si="5"/>
        <v>On Time</v>
      </c>
    </row>
    <row r="172" spans="1:14" hidden="1" x14ac:dyDescent="0.3">
      <c r="A172" s="16" t="str">
        <f>RAW_DATA!A174</f>
        <v>ORD-0173</v>
      </c>
      <c r="B172" s="17">
        <v>45128</v>
      </c>
      <c r="C172" s="17">
        <v>45131</v>
      </c>
      <c r="D172" s="18" t="s">
        <v>569</v>
      </c>
      <c r="E172" s="18" t="s">
        <v>574</v>
      </c>
      <c r="F172" s="18" t="str">
        <f>RAW_DATA!F174</f>
        <v>WH-A</v>
      </c>
      <c r="G172" s="18">
        <f>RAW_DATA!G174</f>
        <v>305</v>
      </c>
      <c r="H172" s="18">
        <f>RAW_DATA!H174</f>
        <v>305</v>
      </c>
      <c r="I172" s="24">
        <f>RAW_DATA!I174</f>
        <v>10.02</v>
      </c>
      <c r="J172" s="24">
        <f>RAW_DATA!J174</f>
        <v>5.91</v>
      </c>
      <c r="K172" s="18">
        <f>RAW_DATA!K174</f>
        <v>4</v>
      </c>
      <c r="L172" s="24">
        <f>RAW_DATA!L174</f>
        <v>2172.9299999999998</v>
      </c>
      <c r="M172" s="18">
        <f t="shared" si="4"/>
        <v>3</v>
      </c>
      <c r="N172" s="18" t="str">
        <f t="shared" si="5"/>
        <v>On Time</v>
      </c>
    </row>
    <row r="173" spans="1:14" hidden="1" x14ac:dyDescent="0.3">
      <c r="A173" s="13" t="str">
        <f>RAW_DATA!A175</f>
        <v>ORD-0174</v>
      </c>
      <c r="B173" s="14">
        <v>44997</v>
      </c>
      <c r="C173" s="14">
        <v>44999</v>
      </c>
      <c r="D173" s="15" t="s">
        <v>578</v>
      </c>
      <c r="E173" s="15" t="s">
        <v>573</v>
      </c>
      <c r="F173" s="15" t="str">
        <f>RAW_DATA!F175</f>
        <v>WH-A</v>
      </c>
      <c r="G173" s="15">
        <f>RAW_DATA!G175</f>
        <v>285</v>
      </c>
      <c r="H173" s="15">
        <f>RAW_DATA!H175</f>
        <v>285</v>
      </c>
      <c r="I173" s="23">
        <f>RAW_DATA!I175</f>
        <v>13.97</v>
      </c>
      <c r="J173" s="23">
        <f>RAW_DATA!J175</f>
        <v>9.1199999999999992</v>
      </c>
      <c r="K173" s="15">
        <f>RAW_DATA!K175</f>
        <v>3</v>
      </c>
      <c r="L173" s="23">
        <f>RAW_DATA!L175</f>
        <v>2850.75</v>
      </c>
      <c r="M173" s="15">
        <f t="shared" si="4"/>
        <v>2</v>
      </c>
      <c r="N173" s="15" t="str">
        <f t="shared" si="5"/>
        <v>On Time</v>
      </c>
    </row>
    <row r="174" spans="1:14" hidden="1" x14ac:dyDescent="0.3">
      <c r="A174" s="16" t="str">
        <f>RAW_DATA!A176</f>
        <v>ORD-0175</v>
      </c>
      <c r="B174" s="17">
        <v>45242</v>
      </c>
      <c r="C174" s="17">
        <v>45245</v>
      </c>
      <c r="D174" s="18" t="s">
        <v>211</v>
      </c>
      <c r="E174" s="18" t="s">
        <v>574</v>
      </c>
      <c r="F174" s="18" t="str">
        <f>RAW_DATA!F176</f>
        <v>WH-D</v>
      </c>
      <c r="G174" s="18">
        <f>RAW_DATA!G176</f>
        <v>323</v>
      </c>
      <c r="H174" s="18">
        <f>RAW_DATA!H176</f>
        <v>323</v>
      </c>
      <c r="I174" s="24">
        <f>RAW_DATA!I176</f>
        <v>10.38</v>
      </c>
      <c r="J174" s="24">
        <f>RAW_DATA!J176</f>
        <v>6.81</v>
      </c>
      <c r="K174" s="18">
        <f>RAW_DATA!K176</f>
        <v>6</v>
      </c>
      <c r="L174" s="24">
        <f>RAW_DATA!L176</f>
        <v>2915.05</v>
      </c>
      <c r="M174" s="18">
        <f t="shared" si="4"/>
        <v>3</v>
      </c>
      <c r="N174" s="18" t="str">
        <f t="shared" si="5"/>
        <v>On Time</v>
      </c>
    </row>
    <row r="175" spans="1:14" hidden="1" x14ac:dyDescent="0.3">
      <c r="A175" s="13" t="str">
        <f>RAW_DATA!A177</f>
        <v>ORD-0176</v>
      </c>
      <c r="B175" s="14">
        <v>45115</v>
      </c>
      <c r="C175" s="14">
        <v>45116</v>
      </c>
      <c r="D175" s="15" t="s">
        <v>579</v>
      </c>
      <c r="E175" s="15" t="s">
        <v>576</v>
      </c>
      <c r="F175" s="15" t="str">
        <f>RAW_DATA!F177</f>
        <v>WH-A</v>
      </c>
      <c r="G175" s="15">
        <f>RAW_DATA!G177</f>
        <v>233</v>
      </c>
      <c r="H175" s="15">
        <f>RAW_DATA!H177</f>
        <v>233</v>
      </c>
      <c r="I175" s="23">
        <f>RAW_DATA!I177</f>
        <v>25.56</v>
      </c>
      <c r="J175" s="23">
        <f>RAW_DATA!J177</f>
        <v>17.77</v>
      </c>
      <c r="K175" s="15">
        <f>RAW_DATA!K177</f>
        <v>3</v>
      </c>
      <c r="L175" s="23">
        <f>RAW_DATA!L177</f>
        <v>5435.64</v>
      </c>
      <c r="M175" s="15">
        <f t="shared" si="4"/>
        <v>1</v>
      </c>
      <c r="N175" s="15" t="str">
        <f t="shared" si="5"/>
        <v>On Time</v>
      </c>
    </row>
    <row r="176" spans="1:14" hidden="1" x14ac:dyDescent="0.3">
      <c r="A176" s="16" t="str">
        <f>RAW_DATA!A178</f>
        <v>ORD-0177</v>
      </c>
      <c r="B176" s="17">
        <v>45062</v>
      </c>
      <c r="C176" s="17">
        <v>45070</v>
      </c>
      <c r="D176" s="15" t="s">
        <v>578</v>
      </c>
      <c r="E176" s="18" t="s">
        <v>577</v>
      </c>
      <c r="F176" s="18" t="str">
        <f>RAW_DATA!F178</f>
        <v>WH-D</v>
      </c>
      <c r="G176" s="18">
        <f>RAW_DATA!G178</f>
        <v>315</v>
      </c>
      <c r="H176" s="18">
        <f>RAW_DATA!H178</f>
        <v>315</v>
      </c>
      <c r="I176" s="24">
        <f>RAW_DATA!I178</f>
        <v>4.9800000000000004</v>
      </c>
      <c r="J176" s="24">
        <f>RAW_DATA!J178</f>
        <v>3.22</v>
      </c>
      <c r="K176" s="18">
        <f>RAW_DATA!K178</f>
        <v>3</v>
      </c>
      <c r="L176" s="24">
        <f>RAW_DATA!L178</f>
        <v>1231.9100000000001</v>
      </c>
      <c r="M176" s="18">
        <f t="shared" si="4"/>
        <v>8</v>
      </c>
      <c r="N176" s="18" t="str">
        <f t="shared" si="5"/>
        <v>Late</v>
      </c>
    </row>
    <row r="177" spans="1:14" hidden="1" x14ac:dyDescent="0.3">
      <c r="A177" s="13" t="str">
        <f>RAW_DATA!A179</f>
        <v>ORD-0178</v>
      </c>
      <c r="B177" s="14">
        <v>44943</v>
      </c>
      <c r="C177" s="14">
        <v>44944</v>
      </c>
      <c r="D177" s="15" t="s">
        <v>571</v>
      </c>
      <c r="E177" s="15" t="s">
        <v>574</v>
      </c>
      <c r="F177" s="15" t="str">
        <f>RAW_DATA!F179</f>
        <v>WH-B</v>
      </c>
      <c r="G177" s="15">
        <f>RAW_DATA!G179</f>
        <v>117</v>
      </c>
      <c r="H177" s="15">
        <f>RAW_DATA!H179</f>
        <v>101</v>
      </c>
      <c r="I177" s="23">
        <f>RAW_DATA!I179</f>
        <v>8.41</v>
      </c>
      <c r="J177" s="23">
        <f>RAW_DATA!J179</f>
        <v>5.32</v>
      </c>
      <c r="K177" s="15">
        <f>RAW_DATA!K179</f>
        <v>4</v>
      </c>
      <c r="L177" s="23">
        <f>RAW_DATA!L179</f>
        <v>636.34</v>
      </c>
      <c r="M177" s="15">
        <f t="shared" si="4"/>
        <v>1</v>
      </c>
      <c r="N177" s="15" t="str">
        <f t="shared" si="5"/>
        <v>On Time</v>
      </c>
    </row>
    <row r="178" spans="1:14" x14ac:dyDescent="0.3">
      <c r="A178" s="16" t="str">
        <f>RAW_DATA!A180</f>
        <v>ORD-0179</v>
      </c>
      <c r="B178" s="17">
        <v>45192</v>
      </c>
      <c r="C178" s="17">
        <v>45195</v>
      </c>
      <c r="D178" s="18" t="s">
        <v>570</v>
      </c>
      <c r="E178" s="18" t="s">
        <v>573</v>
      </c>
      <c r="F178" s="18" t="str">
        <f>RAW_DATA!F180</f>
        <v>WH-B</v>
      </c>
      <c r="G178" s="18">
        <f>RAW_DATA!G180</f>
        <v>359</v>
      </c>
      <c r="H178" s="18">
        <f>RAW_DATA!H180</f>
        <v>359</v>
      </c>
      <c r="I178" s="24">
        <f>RAW_DATA!I180</f>
        <v>12.31</v>
      </c>
      <c r="J178" s="24">
        <f>RAW_DATA!J180</f>
        <v>9.1300000000000008</v>
      </c>
      <c r="K178" s="18">
        <f>RAW_DATA!K180</f>
        <v>7</v>
      </c>
      <c r="L178" s="24">
        <f>RAW_DATA!L180</f>
        <v>3853.88</v>
      </c>
      <c r="M178" s="18">
        <f t="shared" si="4"/>
        <v>3</v>
      </c>
      <c r="N178" s="18" t="str">
        <f t="shared" si="5"/>
        <v>On Time</v>
      </c>
    </row>
    <row r="179" spans="1:14" hidden="1" x14ac:dyDescent="0.3">
      <c r="A179" s="13" t="str">
        <f>RAW_DATA!A181</f>
        <v>ORD-0180</v>
      </c>
      <c r="B179" s="14">
        <v>45273</v>
      </c>
      <c r="C179" s="14">
        <v>45279</v>
      </c>
      <c r="D179" s="15" t="s">
        <v>211</v>
      </c>
      <c r="E179" s="15" t="s">
        <v>577</v>
      </c>
      <c r="F179" s="15" t="str">
        <f>RAW_DATA!F181</f>
        <v>WH-C</v>
      </c>
      <c r="G179" s="15">
        <f>RAW_DATA!G181</f>
        <v>368</v>
      </c>
      <c r="H179" s="15">
        <f>RAW_DATA!H181</f>
        <v>368</v>
      </c>
      <c r="I179" s="23" t="str">
        <f>RAW_DATA!I181</f>
        <v>$7.30</v>
      </c>
      <c r="J179" s="23">
        <f>RAW_DATA!J181</f>
        <v>4.91</v>
      </c>
      <c r="K179" s="15">
        <f>RAW_DATA!K181</f>
        <v>6</v>
      </c>
      <c r="L179" s="23">
        <f>RAW_DATA!L181</f>
        <v>1834.63</v>
      </c>
      <c r="M179" s="15">
        <f t="shared" si="4"/>
        <v>6</v>
      </c>
      <c r="N179" s="15" t="str">
        <f t="shared" si="5"/>
        <v>On Time</v>
      </c>
    </row>
    <row r="180" spans="1:14" hidden="1" x14ac:dyDescent="0.3">
      <c r="A180" s="16" t="str">
        <f>RAW_DATA!A182</f>
        <v>ORD-0181</v>
      </c>
      <c r="B180" s="17">
        <v>45079</v>
      </c>
      <c r="C180" s="17">
        <v>45082</v>
      </c>
      <c r="D180" s="18" t="s">
        <v>572</v>
      </c>
      <c r="E180" s="18" t="s">
        <v>575</v>
      </c>
      <c r="F180" s="18" t="str">
        <f>RAW_DATA!F182</f>
        <v>WH-E</v>
      </c>
      <c r="G180" s="18">
        <f>RAW_DATA!G182</f>
        <v>167</v>
      </c>
      <c r="H180" s="18">
        <f>RAW_DATA!H182</f>
        <v>167</v>
      </c>
      <c r="I180" s="24">
        <f>RAW_DATA!I182</f>
        <v>18.21</v>
      </c>
      <c r="J180" s="24">
        <f>RAW_DATA!J182</f>
        <v>11.8</v>
      </c>
      <c r="K180" s="18">
        <f>RAW_DATA!K182</f>
        <v>5</v>
      </c>
      <c r="L180" s="24">
        <f>RAW_DATA!L182</f>
        <v>2340.84</v>
      </c>
      <c r="M180" s="18">
        <f t="shared" si="4"/>
        <v>3</v>
      </c>
      <c r="N180" s="18" t="str">
        <f t="shared" si="5"/>
        <v>On Time</v>
      </c>
    </row>
    <row r="181" spans="1:14" hidden="1" x14ac:dyDescent="0.3">
      <c r="A181" s="13" t="str">
        <f>RAW_DATA!A183</f>
        <v>ORD-0182</v>
      </c>
      <c r="B181" s="14">
        <v>45220</v>
      </c>
      <c r="C181" s="14">
        <v>45222</v>
      </c>
      <c r="D181" s="15" t="s">
        <v>579</v>
      </c>
      <c r="E181" s="15" t="s">
        <v>575</v>
      </c>
      <c r="F181" s="15" t="str">
        <f>RAW_DATA!F183</f>
        <v>WH-A</v>
      </c>
      <c r="G181" s="15">
        <f>RAW_DATA!G183</f>
        <v>222</v>
      </c>
      <c r="H181" s="15">
        <f>RAW_DATA!H183</f>
        <v>222</v>
      </c>
      <c r="I181" s="23">
        <f>RAW_DATA!I183</f>
        <v>20.59</v>
      </c>
      <c r="J181" s="23">
        <f>RAW_DATA!J183</f>
        <v>14.64</v>
      </c>
      <c r="K181" s="15">
        <f>RAW_DATA!K183</f>
        <v>3</v>
      </c>
      <c r="L181" s="23">
        <f>RAW_DATA!L183</f>
        <v>3491.47</v>
      </c>
      <c r="M181" s="15">
        <f t="shared" si="4"/>
        <v>2</v>
      </c>
      <c r="N181" s="15" t="str">
        <f t="shared" si="5"/>
        <v>On Time</v>
      </c>
    </row>
    <row r="182" spans="1:14" hidden="1" x14ac:dyDescent="0.3">
      <c r="A182" s="16" t="str">
        <f>RAW_DATA!A184</f>
        <v>ORD-0183</v>
      </c>
      <c r="B182" s="17">
        <v>45153</v>
      </c>
      <c r="C182" s="17">
        <v>45156</v>
      </c>
      <c r="D182" s="18" t="s">
        <v>579</v>
      </c>
      <c r="E182" s="18" t="s">
        <v>573</v>
      </c>
      <c r="F182" s="18" t="str">
        <f>RAW_DATA!F184</f>
        <v>WH-C</v>
      </c>
      <c r="G182" s="18">
        <f>RAW_DATA!G184</f>
        <v>265</v>
      </c>
      <c r="H182" s="18">
        <f>RAW_DATA!H184</f>
        <v>265</v>
      </c>
      <c r="I182" s="24">
        <f>RAW_DATA!I184</f>
        <v>15.56</v>
      </c>
      <c r="J182" s="24">
        <f>RAW_DATA!J184</f>
        <v>9.4</v>
      </c>
      <c r="K182" s="18">
        <f>RAW_DATA!K184</f>
        <v>3</v>
      </c>
      <c r="L182" s="24">
        <f>RAW_DATA!L184</f>
        <v>3081.89</v>
      </c>
      <c r="M182" s="18">
        <f t="shared" si="4"/>
        <v>3</v>
      </c>
      <c r="N182" s="18" t="str">
        <f t="shared" si="5"/>
        <v>On Time</v>
      </c>
    </row>
    <row r="183" spans="1:14" hidden="1" x14ac:dyDescent="0.3">
      <c r="A183" s="13" t="str">
        <f>RAW_DATA!A185</f>
        <v>ORD-0184</v>
      </c>
      <c r="B183" s="14">
        <v>45242</v>
      </c>
      <c r="C183" s="14">
        <v>45243</v>
      </c>
      <c r="D183" s="15" t="s">
        <v>579</v>
      </c>
      <c r="E183" s="15" t="s">
        <v>574</v>
      </c>
      <c r="F183" s="15" t="str">
        <f>RAW_DATA!F185</f>
        <v>WH-A</v>
      </c>
      <c r="G183" s="15">
        <f>RAW_DATA!G185</f>
        <v>144</v>
      </c>
      <c r="H183" s="15">
        <f>RAW_DATA!H185</f>
        <v>144</v>
      </c>
      <c r="I183" s="23">
        <f>RAW_DATA!I185</f>
        <v>10.74</v>
      </c>
      <c r="J183" s="23">
        <f>RAW_DATA!J185</f>
        <v>6.39</v>
      </c>
      <c r="K183" s="15">
        <f>RAW_DATA!K185</f>
        <v>3</v>
      </c>
      <c r="L183" s="23">
        <f>RAW_DATA!L185</f>
        <v>956.69</v>
      </c>
      <c r="M183" s="15">
        <f t="shared" si="4"/>
        <v>1</v>
      </c>
      <c r="N183" s="15" t="str">
        <f t="shared" si="5"/>
        <v>On Time</v>
      </c>
    </row>
    <row r="184" spans="1:14" hidden="1" x14ac:dyDescent="0.3">
      <c r="A184" s="16" t="str">
        <f>RAW_DATA!A186</f>
        <v>ORD-0185</v>
      </c>
      <c r="B184" s="17">
        <v>45168</v>
      </c>
      <c r="C184" s="17">
        <v>45170</v>
      </c>
      <c r="D184" s="18" t="s">
        <v>569</v>
      </c>
      <c r="E184" s="18" t="s">
        <v>576</v>
      </c>
      <c r="F184" s="18" t="str">
        <f>RAW_DATA!F186</f>
        <v>WH-C</v>
      </c>
      <c r="G184" s="18">
        <f>RAW_DATA!G186</f>
        <v>22</v>
      </c>
      <c r="H184" s="18">
        <f>RAW_DATA!H186</f>
        <v>22</v>
      </c>
      <c r="I184" s="24">
        <f>RAW_DATA!I186</f>
        <v>27.73</v>
      </c>
      <c r="J184" s="24">
        <f>RAW_DATA!J186</f>
        <v>16.13</v>
      </c>
      <c r="K184" s="18">
        <f>RAW_DATA!K186</f>
        <v>4</v>
      </c>
      <c r="L184" s="24">
        <f>RAW_DATA!L186</f>
        <v>458.39</v>
      </c>
      <c r="M184" s="18">
        <f t="shared" si="4"/>
        <v>2</v>
      </c>
      <c r="N184" s="18" t="str">
        <f t="shared" si="5"/>
        <v>On Time</v>
      </c>
    </row>
    <row r="185" spans="1:14" x14ac:dyDescent="0.3">
      <c r="A185" s="13" t="str">
        <f>RAW_DATA!A187</f>
        <v>ORD-0186</v>
      </c>
      <c r="B185" s="14">
        <v>45074</v>
      </c>
      <c r="C185" s="14">
        <v>45080</v>
      </c>
      <c r="D185" s="15" t="s">
        <v>570</v>
      </c>
      <c r="E185" s="15" t="s">
        <v>576</v>
      </c>
      <c r="F185" s="20">
        <f>RAW_DATA!F187</f>
        <v>0</v>
      </c>
      <c r="G185" s="15">
        <f>RAW_DATA!G187</f>
        <v>50</v>
      </c>
      <c r="H185" s="15">
        <f>RAW_DATA!H187</f>
        <v>50</v>
      </c>
      <c r="I185" s="23">
        <f>RAW_DATA!I187</f>
        <v>17.07</v>
      </c>
      <c r="J185" s="23">
        <f>RAW_DATA!J187</f>
        <v>11.35</v>
      </c>
      <c r="K185" s="15">
        <f>RAW_DATA!K187</f>
        <v>7</v>
      </c>
      <c r="L185" s="23">
        <f>RAW_DATA!L187</f>
        <v>692.97</v>
      </c>
      <c r="M185" s="15">
        <f t="shared" si="4"/>
        <v>6</v>
      </c>
      <c r="N185" s="15" t="str">
        <f t="shared" si="5"/>
        <v>On Time</v>
      </c>
    </row>
    <row r="186" spans="1:14" hidden="1" x14ac:dyDescent="0.3">
      <c r="A186" s="16" t="str">
        <f>RAW_DATA!A188</f>
        <v>ORD-0187</v>
      </c>
      <c r="B186" s="17">
        <v>45017</v>
      </c>
      <c r="C186" s="17">
        <v>45021</v>
      </c>
      <c r="D186" s="15" t="s">
        <v>578</v>
      </c>
      <c r="E186" s="18" t="s">
        <v>574</v>
      </c>
      <c r="F186" s="18" t="str">
        <f>RAW_DATA!F188</f>
        <v>WH-D</v>
      </c>
      <c r="G186" s="18">
        <f>RAW_DATA!G188</f>
        <v>223</v>
      </c>
      <c r="H186" s="18">
        <f>RAW_DATA!H188</f>
        <v>223</v>
      </c>
      <c r="I186" s="24">
        <f>RAW_DATA!I188</f>
        <v>7.29</v>
      </c>
      <c r="J186" s="24">
        <f>RAW_DATA!J188</f>
        <v>5.0999999999999996</v>
      </c>
      <c r="K186" s="18">
        <f>RAW_DATA!K188</f>
        <v>3</v>
      </c>
      <c r="L186" s="24">
        <f>RAW_DATA!L188</f>
        <v>1618.8</v>
      </c>
      <c r="M186" s="18">
        <f t="shared" si="4"/>
        <v>4</v>
      </c>
      <c r="N186" s="18" t="str">
        <f t="shared" si="5"/>
        <v>Late</v>
      </c>
    </row>
    <row r="187" spans="1:14" hidden="1" x14ac:dyDescent="0.3">
      <c r="A187" s="13" t="str">
        <f>RAW_DATA!A189</f>
        <v>ORD-0188</v>
      </c>
      <c r="B187" s="14">
        <v>45079</v>
      </c>
      <c r="C187" s="14">
        <v>45080</v>
      </c>
      <c r="D187" s="15" t="s">
        <v>579</v>
      </c>
      <c r="E187" s="15" t="s">
        <v>573</v>
      </c>
      <c r="F187" s="15" t="str">
        <f>RAW_DATA!F189</f>
        <v>WH-A</v>
      </c>
      <c r="G187" s="15">
        <f>RAW_DATA!G189</f>
        <v>191</v>
      </c>
      <c r="H187" s="15">
        <f>RAW_DATA!H189</f>
        <v>191</v>
      </c>
      <c r="I187" s="23">
        <f>RAW_DATA!I189</f>
        <v>16.72</v>
      </c>
      <c r="J187" s="23">
        <f>RAW_DATA!J189</f>
        <v>11.01</v>
      </c>
      <c r="K187" s="15">
        <f>RAW_DATA!K189</f>
        <v>3</v>
      </c>
      <c r="L187" s="23">
        <f>RAW_DATA!L189</f>
        <v>2515.81</v>
      </c>
      <c r="M187" s="15">
        <f t="shared" si="4"/>
        <v>1</v>
      </c>
      <c r="N187" s="15" t="str">
        <f t="shared" si="5"/>
        <v>On Time</v>
      </c>
    </row>
    <row r="188" spans="1:14" hidden="1" x14ac:dyDescent="0.3">
      <c r="A188" s="16" t="str">
        <f>RAW_DATA!A190</f>
        <v>ORD-0189</v>
      </c>
      <c r="B188" s="17">
        <v>45066</v>
      </c>
      <c r="C188" s="17">
        <v>45067</v>
      </c>
      <c r="D188" s="18" t="s">
        <v>198</v>
      </c>
      <c r="E188" s="18" t="s">
        <v>577</v>
      </c>
      <c r="F188" s="18" t="str">
        <f>RAW_DATA!F190</f>
        <v>WH-D</v>
      </c>
      <c r="G188" s="18">
        <f>RAW_DATA!G190</f>
        <v>189</v>
      </c>
      <c r="H188" s="18">
        <f>RAW_DATA!H190</f>
        <v>189</v>
      </c>
      <c r="I188" s="24">
        <f>RAW_DATA!I190</f>
        <v>6.45</v>
      </c>
      <c r="J188" s="24">
        <f>RAW_DATA!J190</f>
        <v>3.88</v>
      </c>
      <c r="K188" s="18">
        <f>RAW_DATA!K190</f>
        <v>2</v>
      </c>
      <c r="L188" s="24">
        <f>RAW_DATA!L190</f>
        <v>741.91</v>
      </c>
      <c r="M188" s="18">
        <f t="shared" si="4"/>
        <v>1</v>
      </c>
      <c r="N188" s="18" t="str">
        <f t="shared" si="5"/>
        <v>On Time</v>
      </c>
    </row>
    <row r="189" spans="1:14" hidden="1" x14ac:dyDescent="0.3">
      <c r="A189" s="13" t="str">
        <f>RAW_DATA!A191</f>
        <v>ORD-0190</v>
      </c>
      <c r="B189" s="14">
        <v>45272</v>
      </c>
      <c r="C189" s="14">
        <v>45274</v>
      </c>
      <c r="D189" s="15" t="s">
        <v>211</v>
      </c>
      <c r="E189" s="15" t="s">
        <v>575</v>
      </c>
      <c r="F189" s="15" t="str">
        <f>RAW_DATA!F191</f>
        <v>WH-E</v>
      </c>
      <c r="G189" s="15">
        <f>RAW_DATA!G191</f>
        <v>332</v>
      </c>
      <c r="H189" s="15">
        <f>RAW_DATA!H191</f>
        <v>332</v>
      </c>
      <c r="I189" s="23">
        <f>RAW_DATA!I191</f>
        <v>20.07</v>
      </c>
      <c r="J189" s="23">
        <f>RAW_DATA!J191</f>
        <v>14.36</v>
      </c>
      <c r="K189" s="15">
        <f>RAW_DATA!K191</f>
        <v>6</v>
      </c>
      <c r="L189" s="23">
        <f>RAW_DATA!L191</f>
        <v>5764.73</v>
      </c>
      <c r="M189" s="15">
        <f t="shared" si="4"/>
        <v>2</v>
      </c>
      <c r="N189" s="15" t="str">
        <f t="shared" si="5"/>
        <v>On Time</v>
      </c>
    </row>
    <row r="190" spans="1:14" hidden="1" x14ac:dyDescent="0.3">
      <c r="A190" s="16" t="str">
        <f>RAW_DATA!A192</f>
        <v>ORD-0191</v>
      </c>
      <c r="B190" s="17">
        <v>45021</v>
      </c>
      <c r="C190" s="17">
        <v>45029</v>
      </c>
      <c r="D190" s="18" t="s">
        <v>569</v>
      </c>
      <c r="E190" s="18" t="s">
        <v>576</v>
      </c>
      <c r="F190" s="18" t="str">
        <f>RAW_DATA!F192</f>
        <v>WH-A</v>
      </c>
      <c r="G190" s="18">
        <f>RAW_DATA!G192</f>
        <v>185</v>
      </c>
      <c r="H190" s="18">
        <f>RAW_DATA!H192</f>
        <v>185</v>
      </c>
      <c r="I190" s="24">
        <f>RAW_DATA!I192</f>
        <v>16.079999999999998</v>
      </c>
      <c r="J190" s="24">
        <f>RAW_DATA!J192</f>
        <v>10.08</v>
      </c>
      <c r="K190" s="18">
        <f>RAW_DATA!K192</f>
        <v>4</v>
      </c>
      <c r="L190" s="24">
        <f>RAW_DATA!L192</f>
        <v>2178.16</v>
      </c>
      <c r="M190" s="18">
        <f t="shared" si="4"/>
        <v>8</v>
      </c>
      <c r="N190" s="18" t="str">
        <f t="shared" si="5"/>
        <v>Late</v>
      </c>
    </row>
    <row r="191" spans="1:14" hidden="1" x14ac:dyDescent="0.3">
      <c r="A191" s="13" t="str">
        <f>RAW_DATA!A193</f>
        <v>ORD-0192</v>
      </c>
      <c r="B191" s="14">
        <v>45225</v>
      </c>
      <c r="C191" s="14">
        <v>45226</v>
      </c>
      <c r="D191" s="15" t="s">
        <v>579</v>
      </c>
      <c r="E191" s="15" t="s">
        <v>575</v>
      </c>
      <c r="F191" s="15" t="str">
        <f>RAW_DATA!F193</f>
        <v>WH-C</v>
      </c>
      <c r="G191" s="15">
        <f>RAW_DATA!G193</f>
        <v>153</v>
      </c>
      <c r="H191" s="15">
        <f>RAW_DATA!H193</f>
        <v>153</v>
      </c>
      <c r="I191" s="23">
        <f>RAW_DATA!I193</f>
        <v>18.23</v>
      </c>
      <c r="J191" s="23">
        <f>RAW_DATA!J193</f>
        <v>10.25</v>
      </c>
      <c r="K191" s="15">
        <f>RAW_DATA!K193</f>
        <v>3</v>
      </c>
      <c r="L191" s="23">
        <f>RAW_DATA!L193</f>
        <v>1522.67</v>
      </c>
      <c r="M191" s="15">
        <f t="shared" si="4"/>
        <v>1</v>
      </c>
      <c r="N191" s="15" t="str">
        <f t="shared" si="5"/>
        <v>On Time</v>
      </c>
    </row>
    <row r="192" spans="1:14" hidden="1" x14ac:dyDescent="0.3">
      <c r="A192" s="16" t="str">
        <f>RAW_DATA!A194</f>
        <v>ORD-0193</v>
      </c>
      <c r="B192" s="17">
        <v>45278</v>
      </c>
      <c r="C192" s="17">
        <v>45281</v>
      </c>
      <c r="D192" s="18" t="s">
        <v>579</v>
      </c>
      <c r="E192" s="18" t="s">
        <v>574</v>
      </c>
      <c r="F192" s="18" t="str">
        <f>RAW_DATA!F194</f>
        <v>WH-D</v>
      </c>
      <c r="G192" s="18">
        <f>RAW_DATA!G194</f>
        <v>179</v>
      </c>
      <c r="H192" s="18">
        <f>RAW_DATA!H194</f>
        <v>179</v>
      </c>
      <c r="I192" s="24">
        <f>RAW_DATA!I194</f>
        <v>9.4700000000000006</v>
      </c>
      <c r="J192" s="24">
        <f>RAW_DATA!J194</f>
        <v>6.99</v>
      </c>
      <c r="K192" s="18">
        <f>RAW_DATA!K194</f>
        <v>3</v>
      </c>
      <c r="L192" s="24">
        <f>RAW_DATA!L194</f>
        <v>1402.01</v>
      </c>
      <c r="M192" s="18">
        <f t="shared" si="4"/>
        <v>3</v>
      </c>
      <c r="N192" s="18" t="str">
        <f t="shared" si="5"/>
        <v>On Time</v>
      </c>
    </row>
    <row r="193" spans="1:14" hidden="1" x14ac:dyDescent="0.3">
      <c r="A193" s="13" t="str">
        <f>RAW_DATA!A195</f>
        <v>ORD-0194</v>
      </c>
      <c r="B193" s="14">
        <v>45171</v>
      </c>
      <c r="C193" s="14">
        <v>45176</v>
      </c>
      <c r="D193" s="15" t="s">
        <v>572</v>
      </c>
      <c r="E193" s="15" t="s">
        <v>574</v>
      </c>
      <c r="F193" s="15" t="str">
        <f>RAW_DATA!F195</f>
        <v>WH-B</v>
      </c>
      <c r="G193" s="15">
        <f>RAW_DATA!G195</f>
        <v>211</v>
      </c>
      <c r="H193" s="15">
        <f>RAW_DATA!H195</f>
        <v>211</v>
      </c>
      <c r="I193" s="23">
        <f>RAW_DATA!I195</f>
        <v>9.0399999999999991</v>
      </c>
      <c r="J193" s="23">
        <f>RAW_DATA!J195</f>
        <v>5.82</v>
      </c>
      <c r="K193" s="15">
        <f>RAW_DATA!K195</f>
        <v>5</v>
      </c>
      <c r="L193" s="26">
        <f>RAW_DATA!L195</f>
        <v>0</v>
      </c>
      <c r="M193" s="15">
        <f t="shared" si="4"/>
        <v>5</v>
      </c>
      <c r="N193" s="15" t="str">
        <f t="shared" si="5"/>
        <v>On Time</v>
      </c>
    </row>
    <row r="194" spans="1:14" hidden="1" x14ac:dyDescent="0.3">
      <c r="A194" s="16" t="str">
        <f>RAW_DATA!A196</f>
        <v>ORD-0195</v>
      </c>
      <c r="B194" s="17">
        <v>44968</v>
      </c>
      <c r="C194" s="17">
        <v>44973</v>
      </c>
      <c r="D194" s="18" t="s">
        <v>572</v>
      </c>
      <c r="E194" s="18" t="s">
        <v>574</v>
      </c>
      <c r="F194" s="18" t="str">
        <f>RAW_DATA!F196</f>
        <v>WH-E</v>
      </c>
      <c r="G194" s="18">
        <f>RAW_DATA!G196</f>
        <v>380</v>
      </c>
      <c r="H194" s="18">
        <f>RAW_DATA!H196</f>
        <v>380</v>
      </c>
      <c r="I194" s="24">
        <f>RAW_DATA!I196</f>
        <v>10.8</v>
      </c>
      <c r="J194" s="24">
        <f>RAW_DATA!J196</f>
        <v>6.18</v>
      </c>
      <c r="K194" s="18">
        <f>RAW_DATA!K196</f>
        <v>5</v>
      </c>
      <c r="L194" s="25">
        <f>RAW_DATA!L196</f>
        <v>0</v>
      </c>
      <c r="M194" s="18">
        <f t="shared" si="4"/>
        <v>5</v>
      </c>
      <c r="N194" s="18" t="str">
        <f t="shared" si="5"/>
        <v>On Time</v>
      </c>
    </row>
    <row r="195" spans="1:14" hidden="1" x14ac:dyDescent="0.3">
      <c r="A195" s="13" t="str">
        <f>RAW_DATA!A197</f>
        <v>ORD-0196</v>
      </c>
      <c r="B195" s="14">
        <v>45003</v>
      </c>
      <c r="C195" s="14">
        <v>45008</v>
      </c>
      <c r="D195" s="15" t="s">
        <v>572</v>
      </c>
      <c r="E195" s="15" t="s">
        <v>577</v>
      </c>
      <c r="F195" s="15" t="str">
        <f>RAW_DATA!F197</f>
        <v>WH-E</v>
      </c>
      <c r="G195" s="15">
        <f>RAW_DATA!G197</f>
        <v>246</v>
      </c>
      <c r="H195" s="15">
        <f>RAW_DATA!H197</f>
        <v>246</v>
      </c>
      <c r="I195" s="23">
        <f>RAW_DATA!I197</f>
        <v>5.54</v>
      </c>
      <c r="J195" s="23">
        <f>RAW_DATA!J197</f>
        <v>3.69</v>
      </c>
      <c r="K195" s="15">
        <f>RAW_DATA!K197</f>
        <v>5</v>
      </c>
      <c r="L195" s="23">
        <f>RAW_DATA!L197</f>
        <v>866.5</v>
      </c>
      <c r="M195" s="15">
        <f t="shared" ref="M195:M258" si="6">C195-B195</f>
        <v>5</v>
      </c>
      <c r="N195" s="15" t="str">
        <f t="shared" ref="N195:N258" si="7">IF(M195&lt;=K195,"On Time", "Late")</f>
        <v>On Time</v>
      </c>
    </row>
    <row r="196" spans="1:14" hidden="1" x14ac:dyDescent="0.3">
      <c r="A196" s="16" t="str">
        <f>RAW_DATA!A199</f>
        <v>ORD-0198</v>
      </c>
      <c r="B196" s="17">
        <v>45038</v>
      </c>
      <c r="C196" s="17">
        <v>45039</v>
      </c>
      <c r="D196" s="18" t="s">
        <v>571</v>
      </c>
      <c r="E196" s="18" t="s">
        <v>575</v>
      </c>
      <c r="F196" s="18" t="str">
        <f>RAW_DATA!F199</f>
        <v>WH-A</v>
      </c>
      <c r="G196" s="18">
        <f>RAW_DATA!G199</f>
        <v>236</v>
      </c>
      <c r="H196" s="18">
        <f>RAW_DATA!H199</f>
        <v>236</v>
      </c>
      <c r="I196" s="24">
        <f>RAW_DATA!I199</f>
        <v>12.57</v>
      </c>
      <c r="J196" s="24">
        <f>RAW_DATA!J199</f>
        <v>9.41</v>
      </c>
      <c r="K196" s="18">
        <f>RAW_DATA!K199</f>
        <v>4</v>
      </c>
      <c r="L196" s="24">
        <f>RAW_DATA!L199</f>
        <v>3243.97</v>
      </c>
      <c r="M196" s="18">
        <f t="shared" si="6"/>
        <v>1</v>
      </c>
      <c r="N196" s="18" t="str">
        <f t="shared" si="7"/>
        <v>On Time</v>
      </c>
    </row>
    <row r="197" spans="1:14" hidden="1" x14ac:dyDescent="0.3">
      <c r="A197" s="13" t="str">
        <f>RAW_DATA!A200</f>
        <v>ORD-0199</v>
      </c>
      <c r="B197" s="14">
        <v>45073</v>
      </c>
      <c r="C197" s="14">
        <v>45075</v>
      </c>
      <c r="D197" s="15" t="s">
        <v>569</v>
      </c>
      <c r="E197" s="15" t="s">
        <v>576</v>
      </c>
      <c r="F197" s="15" t="str">
        <f>RAW_DATA!F200</f>
        <v>WH-A</v>
      </c>
      <c r="G197" s="15">
        <f>RAW_DATA!G200</f>
        <v>348</v>
      </c>
      <c r="H197" s="15">
        <f>RAW_DATA!H200</f>
        <v>348</v>
      </c>
      <c r="I197" s="23">
        <f>RAW_DATA!I200</f>
        <v>23.75</v>
      </c>
      <c r="J197" s="23">
        <f>RAW_DATA!J200</f>
        <v>15.06</v>
      </c>
      <c r="K197" s="15">
        <f>RAW_DATA!K200</f>
        <v>4</v>
      </c>
      <c r="L197" s="23">
        <f>RAW_DATA!L200</f>
        <v>7838.86</v>
      </c>
      <c r="M197" s="15">
        <f t="shared" si="6"/>
        <v>2</v>
      </c>
      <c r="N197" s="15" t="str">
        <f t="shared" si="7"/>
        <v>On Time</v>
      </c>
    </row>
    <row r="198" spans="1:14" hidden="1" x14ac:dyDescent="0.3">
      <c r="A198" s="16" t="str">
        <f>RAW_DATA!A202</f>
        <v>ORD-0201</v>
      </c>
      <c r="B198" s="17">
        <v>44938</v>
      </c>
      <c r="C198" s="17">
        <v>44944</v>
      </c>
      <c r="D198" s="18" t="s">
        <v>198</v>
      </c>
      <c r="E198" s="18" t="s">
        <v>574</v>
      </c>
      <c r="F198" s="18" t="str">
        <f>RAW_DATA!F202</f>
        <v>WH-A</v>
      </c>
      <c r="G198" s="18">
        <f>RAW_DATA!G202</f>
        <v>364</v>
      </c>
      <c r="H198" s="18">
        <f>RAW_DATA!H202</f>
        <v>364</v>
      </c>
      <c r="I198" s="24">
        <f>RAW_DATA!I202</f>
        <v>8.44</v>
      </c>
      <c r="J198" s="24">
        <f>RAW_DATA!J202</f>
        <v>5.28</v>
      </c>
      <c r="K198" s="18">
        <f>RAW_DATA!K202</f>
        <v>2</v>
      </c>
      <c r="L198" s="24">
        <f>RAW_DATA!L202</f>
        <v>1994.57</v>
      </c>
      <c r="M198" s="18">
        <f t="shared" si="6"/>
        <v>6</v>
      </c>
      <c r="N198" s="18" t="str">
        <f t="shared" si="7"/>
        <v>Late</v>
      </c>
    </row>
    <row r="199" spans="1:14" x14ac:dyDescent="0.3">
      <c r="A199" s="13" t="str">
        <f>RAW_DATA!A203</f>
        <v>ORD-0202</v>
      </c>
      <c r="B199" s="14">
        <v>45068</v>
      </c>
      <c r="C199" s="14">
        <v>45074</v>
      </c>
      <c r="D199" s="15" t="s">
        <v>570</v>
      </c>
      <c r="E199" s="15" t="s">
        <v>575</v>
      </c>
      <c r="F199" s="15" t="str">
        <f>RAW_DATA!F203</f>
        <v>WH-B</v>
      </c>
      <c r="G199" s="15">
        <f>RAW_DATA!G203</f>
        <v>77</v>
      </c>
      <c r="H199" s="15">
        <f>RAW_DATA!H203</f>
        <v>74</v>
      </c>
      <c r="I199" s="23">
        <f>RAW_DATA!I203</f>
        <v>15.77</v>
      </c>
      <c r="J199" s="23">
        <f>RAW_DATA!J203</f>
        <v>11.09</v>
      </c>
      <c r="K199" s="15">
        <f>RAW_DATA!K203</f>
        <v>7</v>
      </c>
      <c r="L199" s="23">
        <f>RAW_DATA!L203</f>
        <v>1221.3399999999999</v>
      </c>
      <c r="M199" s="15">
        <f t="shared" si="6"/>
        <v>6</v>
      </c>
      <c r="N199" s="15" t="str">
        <f t="shared" si="7"/>
        <v>On Time</v>
      </c>
    </row>
    <row r="200" spans="1:14" hidden="1" x14ac:dyDescent="0.3">
      <c r="A200" s="16" t="str">
        <f>RAW_DATA!A204</f>
        <v>ORD-0203</v>
      </c>
      <c r="B200" s="17">
        <v>44961</v>
      </c>
      <c r="C200" s="17">
        <v>44962</v>
      </c>
      <c r="D200" s="15" t="s">
        <v>578</v>
      </c>
      <c r="E200" s="18" t="s">
        <v>574</v>
      </c>
      <c r="F200" s="18" t="str">
        <f>RAW_DATA!F204</f>
        <v>WH-B</v>
      </c>
      <c r="G200" s="18">
        <f>RAW_DATA!G204</f>
        <v>248</v>
      </c>
      <c r="H200" s="18">
        <f>RAW_DATA!H204</f>
        <v>248</v>
      </c>
      <c r="I200" s="24">
        <f>RAW_DATA!I204</f>
        <v>9.7799999999999994</v>
      </c>
      <c r="J200" s="24">
        <f>RAW_DATA!J204</f>
        <v>5.47</v>
      </c>
      <c r="K200" s="18">
        <f>RAW_DATA!K204</f>
        <v>3</v>
      </c>
      <c r="L200" s="24">
        <f>RAW_DATA!L204</f>
        <v>1823.66</v>
      </c>
      <c r="M200" s="18">
        <f t="shared" si="6"/>
        <v>1</v>
      </c>
      <c r="N200" s="18" t="str">
        <f t="shared" si="7"/>
        <v>On Time</v>
      </c>
    </row>
    <row r="201" spans="1:14" hidden="1" x14ac:dyDescent="0.3">
      <c r="A201" s="13" t="str">
        <f>RAW_DATA!A205</f>
        <v>ORD-0204</v>
      </c>
      <c r="B201" s="14">
        <v>45203</v>
      </c>
      <c r="C201" s="14">
        <v>45204</v>
      </c>
      <c r="D201" s="15" t="s">
        <v>571</v>
      </c>
      <c r="E201" s="15" t="s">
        <v>576</v>
      </c>
      <c r="F201" s="15" t="str">
        <f>RAW_DATA!F205</f>
        <v>WH-B</v>
      </c>
      <c r="G201" s="15">
        <f>RAW_DATA!G205</f>
        <v>91</v>
      </c>
      <c r="H201" s="15">
        <f>RAW_DATA!H205</f>
        <v>91</v>
      </c>
      <c r="I201" s="23">
        <f>RAW_DATA!I205</f>
        <v>19.47</v>
      </c>
      <c r="J201" s="23">
        <f>RAW_DATA!J205</f>
        <v>13.89</v>
      </c>
      <c r="K201" s="15">
        <f>RAW_DATA!K205</f>
        <v>4</v>
      </c>
      <c r="L201" s="23">
        <f>RAW_DATA!L205</f>
        <v>1692.37</v>
      </c>
      <c r="M201" s="15">
        <f t="shared" si="6"/>
        <v>1</v>
      </c>
      <c r="N201" s="15" t="str">
        <f t="shared" si="7"/>
        <v>On Time</v>
      </c>
    </row>
    <row r="202" spans="1:14" hidden="1" x14ac:dyDescent="0.3">
      <c r="A202" s="16" t="str">
        <f>RAW_DATA!A206</f>
        <v>ORD-0205</v>
      </c>
      <c r="B202" s="17">
        <v>45271</v>
      </c>
      <c r="C202" s="17">
        <v>45273</v>
      </c>
      <c r="D202" s="18" t="s">
        <v>211</v>
      </c>
      <c r="E202" s="18" t="s">
        <v>577</v>
      </c>
      <c r="F202" s="18" t="str">
        <f>RAW_DATA!F206</f>
        <v>WH-E</v>
      </c>
      <c r="G202" s="18">
        <f>RAW_DATA!G206</f>
        <v>174</v>
      </c>
      <c r="H202" s="18">
        <f>RAW_DATA!H206</f>
        <v>174</v>
      </c>
      <c r="I202" s="24">
        <f>RAW_DATA!I206</f>
        <v>8.35</v>
      </c>
      <c r="J202" s="24">
        <f>RAW_DATA!J206</f>
        <v>5.46</v>
      </c>
      <c r="K202" s="18">
        <f>RAW_DATA!K206</f>
        <v>6</v>
      </c>
      <c r="L202" s="24">
        <f>RAW_DATA!L206</f>
        <v>1090.78</v>
      </c>
      <c r="M202" s="18">
        <f t="shared" si="6"/>
        <v>2</v>
      </c>
      <c r="N202" s="18" t="str">
        <f t="shared" si="7"/>
        <v>On Time</v>
      </c>
    </row>
    <row r="203" spans="1:14" hidden="1" x14ac:dyDescent="0.3">
      <c r="A203" s="13" t="str">
        <f>RAW_DATA!A208</f>
        <v>ORD-0207</v>
      </c>
      <c r="B203" s="14">
        <v>45283</v>
      </c>
      <c r="C203" s="14">
        <v>45285</v>
      </c>
      <c r="D203" s="15" t="s">
        <v>571</v>
      </c>
      <c r="E203" s="15" t="s">
        <v>577</v>
      </c>
      <c r="F203" s="15" t="str">
        <f>RAW_DATA!F208</f>
        <v>WH-C</v>
      </c>
      <c r="G203" s="15">
        <f>RAW_DATA!G208</f>
        <v>173</v>
      </c>
      <c r="H203" s="15">
        <f>RAW_DATA!H208</f>
        <v>173</v>
      </c>
      <c r="I203" s="23">
        <f>RAW_DATA!I208</f>
        <v>7.52</v>
      </c>
      <c r="J203" s="23">
        <f>RAW_DATA!J208</f>
        <v>4.8499999999999996</v>
      </c>
      <c r="K203" s="15">
        <f>RAW_DATA!K208</f>
        <v>4</v>
      </c>
      <c r="L203" s="23">
        <f>RAW_DATA!L208</f>
        <v>1182.73</v>
      </c>
      <c r="M203" s="15">
        <f t="shared" si="6"/>
        <v>2</v>
      </c>
      <c r="N203" s="15" t="str">
        <f t="shared" si="7"/>
        <v>On Time</v>
      </c>
    </row>
    <row r="204" spans="1:14" hidden="1" x14ac:dyDescent="0.3">
      <c r="A204" s="16" t="str">
        <f>RAW_DATA!A209</f>
        <v>ORD-0208</v>
      </c>
      <c r="B204" s="17">
        <v>44956</v>
      </c>
      <c r="C204" s="17">
        <v>44958</v>
      </c>
      <c r="D204" s="18" t="s">
        <v>579</v>
      </c>
      <c r="E204" s="18" t="s">
        <v>574</v>
      </c>
      <c r="F204" s="18" t="str">
        <f>RAW_DATA!F209</f>
        <v>WH-D</v>
      </c>
      <c r="G204" s="18">
        <f>RAW_DATA!G209</f>
        <v>305</v>
      </c>
      <c r="H204" s="18">
        <f>RAW_DATA!H209</f>
        <v>305</v>
      </c>
      <c r="I204" s="24">
        <f>RAW_DATA!I209</f>
        <v>8.26</v>
      </c>
      <c r="J204" s="24">
        <f>RAW_DATA!J209</f>
        <v>4.96</v>
      </c>
      <c r="K204" s="18">
        <f>RAW_DATA!K209</f>
        <v>3</v>
      </c>
      <c r="L204" s="24">
        <f>RAW_DATA!L209</f>
        <v>1661.29</v>
      </c>
      <c r="M204" s="18">
        <f t="shared" si="6"/>
        <v>2</v>
      </c>
      <c r="N204" s="18" t="str">
        <f t="shared" si="7"/>
        <v>On Time</v>
      </c>
    </row>
    <row r="205" spans="1:14" hidden="1" x14ac:dyDescent="0.3">
      <c r="A205" s="13" t="str">
        <f>RAW_DATA!A210</f>
        <v>ORD-0209</v>
      </c>
      <c r="B205" s="14">
        <v>44974</v>
      </c>
      <c r="C205" s="14">
        <v>44976</v>
      </c>
      <c r="D205" s="15" t="s">
        <v>569</v>
      </c>
      <c r="E205" s="15" t="s">
        <v>576</v>
      </c>
      <c r="F205" s="15" t="str">
        <f>RAW_DATA!F210</f>
        <v>WH-C</v>
      </c>
      <c r="G205" s="15">
        <f>RAW_DATA!G210</f>
        <v>46</v>
      </c>
      <c r="H205" s="15">
        <f>RAW_DATA!H210</f>
        <v>46</v>
      </c>
      <c r="I205" s="23">
        <f>RAW_DATA!I210</f>
        <v>24.08</v>
      </c>
      <c r="J205" s="23">
        <f>RAW_DATA!J210</f>
        <v>16.149999999999999</v>
      </c>
      <c r="K205" s="15">
        <f>RAW_DATA!K210</f>
        <v>4</v>
      </c>
      <c r="L205" s="23">
        <f>RAW_DATA!L210</f>
        <v>1058.02</v>
      </c>
      <c r="M205" s="15">
        <f t="shared" si="6"/>
        <v>2</v>
      </c>
      <c r="N205" s="15" t="str">
        <f t="shared" si="7"/>
        <v>On Time</v>
      </c>
    </row>
    <row r="206" spans="1:14" hidden="1" x14ac:dyDescent="0.3">
      <c r="A206" s="16" t="str">
        <f>RAW_DATA!A211</f>
        <v>ORD-0210</v>
      </c>
      <c r="B206" s="17">
        <v>45038</v>
      </c>
      <c r="C206" s="17">
        <v>45041</v>
      </c>
      <c r="D206" s="18" t="s">
        <v>572</v>
      </c>
      <c r="E206" s="18" t="s">
        <v>577</v>
      </c>
      <c r="F206" s="18" t="str">
        <f>RAW_DATA!F211</f>
        <v>WH-E</v>
      </c>
      <c r="G206" s="18">
        <f>RAW_DATA!G211</f>
        <v>175</v>
      </c>
      <c r="H206" s="18">
        <f>RAW_DATA!H211</f>
        <v>175</v>
      </c>
      <c r="I206" s="24">
        <f>RAW_DATA!I211</f>
        <v>4.8600000000000003</v>
      </c>
      <c r="J206" s="24">
        <f>RAW_DATA!J211</f>
        <v>3.58</v>
      </c>
      <c r="K206" s="18">
        <f>RAW_DATA!K211</f>
        <v>5</v>
      </c>
      <c r="L206" s="24">
        <f>RAW_DATA!L211</f>
        <v>925.49</v>
      </c>
      <c r="M206" s="18">
        <f t="shared" si="6"/>
        <v>3</v>
      </c>
      <c r="N206" s="18" t="str">
        <f t="shared" si="7"/>
        <v>On Time</v>
      </c>
    </row>
    <row r="207" spans="1:14" hidden="1" x14ac:dyDescent="0.3">
      <c r="A207" s="13" t="str">
        <f>RAW_DATA!A212</f>
        <v>ORD-0211</v>
      </c>
      <c r="B207" s="14">
        <v>45283</v>
      </c>
      <c r="C207" s="14">
        <v>45285</v>
      </c>
      <c r="D207" s="15" t="s">
        <v>569</v>
      </c>
      <c r="E207" s="15" t="s">
        <v>576</v>
      </c>
      <c r="F207" s="15" t="str">
        <f>RAW_DATA!F212</f>
        <v>WH-B</v>
      </c>
      <c r="G207" s="15">
        <f>RAW_DATA!G212</f>
        <v>223</v>
      </c>
      <c r="H207" s="15">
        <f>RAW_DATA!H212</f>
        <v>223</v>
      </c>
      <c r="I207" s="23">
        <f>RAW_DATA!I212</f>
        <v>22.62</v>
      </c>
      <c r="J207" s="23">
        <f>RAW_DATA!J212</f>
        <v>15.95</v>
      </c>
      <c r="K207" s="15">
        <f>RAW_DATA!K212</f>
        <v>4</v>
      </c>
      <c r="L207" s="23">
        <f>RAW_DATA!L212</f>
        <v>4013.54</v>
      </c>
      <c r="M207" s="15">
        <f t="shared" si="6"/>
        <v>2</v>
      </c>
      <c r="N207" s="15" t="str">
        <f t="shared" si="7"/>
        <v>On Time</v>
      </c>
    </row>
    <row r="208" spans="1:14" hidden="1" x14ac:dyDescent="0.3">
      <c r="A208" s="16" t="str">
        <f>RAW_DATA!A213</f>
        <v>ORD-0212</v>
      </c>
      <c r="B208" s="17">
        <v>45111</v>
      </c>
      <c r="C208" s="17">
        <v>45115</v>
      </c>
      <c r="D208" s="18" t="s">
        <v>211</v>
      </c>
      <c r="E208" s="18" t="s">
        <v>575</v>
      </c>
      <c r="F208" s="18" t="str">
        <f>RAW_DATA!F213</f>
        <v>WH-C</v>
      </c>
      <c r="G208" s="18">
        <f>RAW_DATA!G213</f>
        <v>258</v>
      </c>
      <c r="H208" s="18">
        <f>RAW_DATA!H213</f>
        <v>258</v>
      </c>
      <c r="I208" s="24" t="str">
        <f>RAW_DATA!I213</f>
        <v>$20.83</v>
      </c>
      <c r="J208" s="24">
        <f>RAW_DATA!J213</f>
        <v>13.41</v>
      </c>
      <c r="K208" s="18">
        <f>RAW_DATA!K213</f>
        <v>6</v>
      </c>
      <c r="L208" s="24">
        <f>RAW_DATA!L213</f>
        <v>4856.97</v>
      </c>
      <c r="M208" s="18">
        <f t="shared" si="6"/>
        <v>4</v>
      </c>
      <c r="N208" s="18" t="str">
        <f t="shared" si="7"/>
        <v>On Time</v>
      </c>
    </row>
    <row r="209" spans="1:14" hidden="1" x14ac:dyDescent="0.3">
      <c r="A209" s="13" t="str">
        <f>RAW_DATA!A214</f>
        <v>ORD-0213</v>
      </c>
      <c r="B209" s="14">
        <v>45138</v>
      </c>
      <c r="C209" s="14">
        <v>45140</v>
      </c>
      <c r="D209" s="15" t="s">
        <v>572</v>
      </c>
      <c r="E209" s="15" t="s">
        <v>575</v>
      </c>
      <c r="F209" s="15" t="str">
        <f>RAW_DATA!F214</f>
        <v>WH-C</v>
      </c>
      <c r="G209" s="15">
        <f>RAW_DATA!G214</f>
        <v>399</v>
      </c>
      <c r="H209" s="15">
        <f>RAW_DATA!H214</f>
        <v>399</v>
      </c>
      <c r="I209" s="23" t="str">
        <f>RAW_DATA!I214</f>
        <v>$14.35</v>
      </c>
      <c r="J209" s="23">
        <f>RAW_DATA!J214</f>
        <v>10.58</v>
      </c>
      <c r="K209" s="15">
        <f>RAW_DATA!K214</f>
        <v>5</v>
      </c>
      <c r="L209" s="23">
        <f>RAW_DATA!L214</f>
        <v>5266.16</v>
      </c>
      <c r="M209" s="15">
        <f t="shared" si="6"/>
        <v>2</v>
      </c>
      <c r="N209" s="15" t="str">
        <f t="shared" si="7"/>
        <v>On Time</v>
      </c>
    </row>
    <row r="210" spans="1:14" hidden="1" x14ac:dyDescent="0.3">
      <c r="A210" s="16" t="str">
        <f>RAW_DATA!A215</f>
        <v>ORD-0214</v>
      </c>
      <c r="B210" s="17">
        <v>45027</v>
      </c>
      <c r="C210" s="17">
        <v>45031</v>
      </c>
      <c r="D210" s="18" t="s">
        <v>571</v>
      </c>
      <c r="E210" s="18" t="s">
        <v>575</v>
      </c>
      <c r="F210" s="18" t="str">
        <f>RAW_DATA!F215</f>
        <v>WH-B</v>
      </c>
      <c r="G210" s="18">
        <f>RAW_DATA!G215</f>
        <v>311</v>
      </c>
      <c r="H210" s="18">
        <f>RAW_DATA!H215</f>
        <v>311</v>
      </c>
      <c r="I210" s="24">
        <f>RAW_DATA!I215</f>
        <v>16.489999999999998</v>
      </c>
      <c r="J210" s="24">
        <f>RAW_DATA!J215</f>
        <v>11.23</v>
      </c>
      <c r="K210" s="18">
        <f>RAW_DATA!K215</f>
        <v>4</v>
      </c>
      <c r="L210" s="24">
        <f>RAW_DATA!L215</f>
        <v>4578.3900000000003</v>
      </c>
      <c r="M210" s="18">
        <f t="shared" si="6"/>
        <v>4</v>
      </c>
      <c r="N210" s="18" t="str">
        <f t="shared" si="7"/>
        <v>On Time</v>
      </c>
    </row>
    <row r="211" spans="1:14" hidden="1" x14ac:dyDescent="0.3">
      <c r="A211" s="13" t="str">
        <f>RAW_DATA!A216</f>
        <v>ORD-0215</v>
      </c>
      <c r="B211" s="14">
        <v>45162</v>
      </c>
      <c r="C211" s="14">
        <v>45164</v>
      </c>
      <c r="D211" s="15" t="s">
        <v>579</v>
      </c>
      <c r="E211" s="15" t="s">
        <v>576</v>
      </c>
      <c r="F211" s="15" t="str">
        <f>RAW_DATA!F216</f>
        <v>WH-D</v>
      </c>
      <c r="G211" s="15">
        <f>RAW_DATA!G216</f>
        <v>106</v>
      </c>
      <c r="H211" s="15">
        <f>RAW_DATA!H216</f>
        <v>106</v>
      </c>
      <c r="I211" s="23">
        <f>RAW_DATA!I216</f>
        <v>22.56</v>
      </c>
      <c r="J211" s="23">
        <f>RAW_DATA!J216</f>
        <v>13.24</v>
      </c>
      <c r="K211" s="15">
        <f>RAW_DATA!K216</f>
        <v>3</v>
      </c>
      <c r="L211" s="23">
        <f>RAW_DATA!L216</f>
        <v>2012</v>
      </c>
      <c r="M211" s="15">
        <f t="shared" si="6"/>
        <v>2</v>
      </c>
      <c r="N211" s="15" t="str">
        <f t="shared" si="7"/>
        <v>On Time</v>
      </c>
    </row>
    <row r="212" spans="1:14" hidden="1" x14ac:dyDescent="0.3">
      <c r="A212" s="16" t="str">
        <f>RAW_DATA!A217</f>
        <v>ORD-0216</v>
      </c>
      <c r="B212" s="17">
        <v>44965</v>
      </c>
      <c r="C212" s="17">
        <v>44974</v>
      </c>
      <c r="D212" s="15" t="s">
        <v>578</v>
      </c>
      <c r="E212" s="18" t="s">
        <v>577</v>
      </c>
      <c r="F212" s="18" t="str">
        <f>RAW_DATA!F217</f>
        <v>WH-A</v>
      </c>
      <c r="G212" s="18">
        <f>RAW_DATA!G217</f>
        <v>44</v>
      </c>
      <c r="H212" s="18">
        <f>RAW_DATA!H217</f>
        <v>44</v>
      </c>
      <c r="I212" s="24">
        <f>RAW_DATA!I217</f>
        <v>6.28</v>
      </c>
      <c r="J212" s="24">
        <f>RAW_DATA!J217</f>
        <v>4.51</v>
      </c>
      <c r="K212" s="18">
        <f>RAW_DATA!K217</f>
        <v>3</v>
      </c>
      <c r="L212" s="24">
        <f>RAW_DATA!L217</f>
        <v>206.15</v>
      </c>
      <c r="M212" s="18">
        <f t="shared" si="6"/>
        <v>9</v>
      </c>
      <c r="N212" s="18" t="str">
        <f t="shared" si="7"/>
        <v>Late</v>
      </c>
    </row>
    <row r="213" spans="1:14" hidden="1" x14ac:dyDescent="0.3">
      <c r="A213" s="13" t="str">
        <f>RAW_DATA!A218</f>
        <v>ORD-0217</v>
      </c>
      <c r="B213" s="14">
        <v>45185</v>
      </c>
      <c r="C213" s="14">
        <v>45186</v>
      </c>
      <c r="D213" s="15" t="s">
        <v>198</v>
      </c>
      <c r="E213" s="15" t="s">
        <v>573</v>
      </c>
      <c r="F213" s="15" t="str">
        <f>RAW_DATA!F218</f>
        <v>WH-B</v>
      </c>
      <c r="G213" s="15">
        <f>RAW_DATA!G218</f>
        <v>336</v>
      </c>
      <c r="H213" s="15">
        <f>RAW_DATA!H218</f>
        <v>336</v>
      </c>
      <c r="I213" s="23">
        <f>RAW_DATA!I218</f>
        <v>16.32</v>
      </c>
      <c r="J213" s="23">
        <f>RAW_DATA!J218</f>
        <v>11.96</v>
      </c>
      <c r="K213" s="15">
        <f>RAW_DATA!K218</f>
        <v>2</v>
      </c>
      <c r="L213" s="23">
        <f>RAW_DATA!L218</f>
        <v>5206.33</v>
      </c>
      <c r="M213" s="15">
        <f t="shared" si="6"/>
        <v>1</v>
      </c>
      <c r="N213" s="15" t="str">
        <f t="shared" si="7"/>
        <v>On Time</v>
      </c>
    </row>
    <row r="214" spans="1:14" hidden="1" x14ac:dyDescent="0.3">
      <c r="A214" s="16" t="str">
        <f>RAW_DATA!A219</f>
        <v>ORD-0218</v>
      </c>
      <c r="B214" s="17">
        <v>45209</v>
      </c>
      <c r="C214" s="17">
        <v>45210</v>
      </c>
      <c r="D214" s="15" t="s">
        <v>578</v>
      </c>
      <c r="E214" s="18" t="s">
        <v>573</v>
      </c>
      <c r="F214" s="18" t="str">
        <f>RAW_DATA!F219</f>
        <v>WH-E</v>
      </c>
      <c r="G214" s="18">
        <f>RAW_DATA!G219</f>
        <v>291</v>
      </c>
      <c r="H214" s="18">
        <f>RAW_DATA!H219</f>
        <v>291</v>
      </c>
      <c r="I214" s="24">
        <f>RAW_DATA!I219</f>
        <v>13.46</v>
      </c>
      <c r="J214" s="24">
        <f>RAW_DATA!J219</f>
        <v>8.17</v>
      </c>
      <c r="K214" s="18">
        <f>RAW_DATA!K219</f>
        <v>3</v>
      </c>
      <c r="L214" s="24">
        <f>RAW_DATA!L219</f>
        <v>2856.13</v>
      </c>
      <c r="M214" s="18">
        <f t="shared" si="6"/>
        <v>1</v>
      </c>
      <c r="N214" s="18" t="str">
        <f t="shared" si="7"/>
        <v>On Time</v>
      </c>
    </row>
    <row r="215" spans="1:14" hidden="1" x14ac:dyDescent="0.3">
      <c r="A215" s="13" t="str">
        <f>RAW_DATA!A220</f>
        <v>ORD-0219</v>
      </c>
      <c r="B215" s="14">
        <v>44976</v>
      </c>
      <c r="C215" s="14">
        <v>44978</v>
      </c>
      <c r="D215" s="15" t="s">
        <v>571</v>
      </c>
      <c r="E215" s="15" t="s">
        <v>574</v>
      </c>
      <c r="F215" s="15" t="str">
        <f>RAW_DATA!F220</f>
        <v>WH-A</v>
      </c>
      <c r="G215" s="15">
        <f>RAW_DATA!G220</f>
        <v>118</v>
      </c>
      <c r="H215" s="15">
        <f>RAW_DATA!H220</f>
        <v>118</v>
      </c>
      <c r="I215" s="23">
        <f>RAW_DATA!I220</f>
        <v>7.61</v>
      </c>
      <c r="J215" s="23">
        <f>RAW_DATA!J220</f>
        <v>4.72</v>
      </c>
      <c r="K215" s="15">
        <f>RAW_DATA!K220</f>
        <v>4</v>
      </c>
      <c r="L215" s="23">
        <f>RAW_DATA!L220</f>
        <v>766.91</v>
      </c>
      <c r="M215" s="15">
        <f t="shared" si="6"/>
        <v>2</v>
      </c>
      <c r="N215" s="15" t="str">
        <f t="shared" si="7"/>
        <v>On Time</v>
      </c>
    </row>
    <row r="216" spans="1:14" hidden="1" x14ac:dyDescent="0.3">
      <c r="A216" s="16" t="str">
        <f>RAW_DATA!A221</f>
        <v>ORD-0220</v>
      </c>
      <c r="B216" s="17">
        <v>45162</v>
      </c>
      <c r="C216" s="17">
        <v>45164</v>
      </c>
      <c r="D216" s="18" t="s">
        <v>569</v>
      </c>
      <c r="E216" s="18" t="s">
        <v>575</v>
      </c>
      <c r="F216" s="18" t="str">
        <f>RAW_DATA!F221</f>
        <v>WH-D</v>
      </c>
      <c r="G216" s="18">
        <f>RAW_DATA!G221</f>
        <v>173</v>
      </c>
      <c r="H216" s="18">
        <f>RAW_DATA!H221</f>
        <v>173</v>
      </c>
      <c r="I216" s="24">
        <f>RAW_DATA!I221</f>
        <v>19.63</v>
      </c>
      <c r="J216" s="24">
        <f>RAW_DATA!J221</f>
        <v>13.36</v>
      </c>
      <c r="K216" s="18">
        <f>RAW_DATA!K221</f>
        <v>4</v>
      </c>
      <c r="L216" s="24">
        <f>RAW_DATA!L221</f>
        <v>3270.3</v>
      </c>
      <c r="M216" s="18">
        <f t="shared" si="6"/>
        <v>2</v>
      </c>
      <c r="N216" s="18" t="str">
        <f t="shared" si="7"/>
        <v>On Time</v>
      </c>
    </row>
    <row r="217" spans="1:14" hidden="1" x14ac:dyDescent="0.3">
      <c r="A217" s="13" t="str">
        <f>RAW_DATA!A222</f>
        <v>ORD-0221</v>
      </c>
      <c r="B217" s="14">
        <v>45121</v>
      </c>
      <c r="C217" s="14">
        <v>45123</v>
      </c>
      <c r="D217" s="15" t="s">
        <v>578</v>
      </c>
      <c r="E217" s="15" t="s">
        <v>573</v>
      </c>
      <c r="F217" s="15" t="str">
        <f>RAW_DATA!F222</f>
        <v>WH-D</v>
      </c>
      <c r="G217" s="15">
        <f>RAW_DATA!G222</f>
        <v>48</v>
      </c>
      <c r="H217" s="15">
        <f>RAW_DATA!H222</f>
        <v>48</v>
      </c>
      <c r="I217" s="23">
        <f>RAW_DATA!I222</f>
        <v>14.66</v>
      </c>
      <c r="J217" s="23">
        <f>RAW_DATA!J222</f>
        <v>8.31</v>
      </c>
      <c r="K217" s="15">
        <f>RAW_DATA!K222</f>
        <v>3</v>
      </c>
      <c r="L217" s="23">
        <f>RAW_DATA!L222</f>
        <v>561.29999999999995</v>
      </c>
      <c r="M217" s="15">
        <f t="shared" si="6"/>
        <v>2</v>
      </c>
      <c r="N217" s="15" t="str">
        <f t="shared" si="7"/>
        <v>On Time</v>
      </c>
    </row>
    <row r="218" spans="1:14" hidden="1" x14ac:dyDescent="0.3">
      <c r="A218" s="16" t="str">
        <f>RAW_DATA!A223</f>
        <v>ORD-0222</v>
      </c>
      <c r="B218" s="17">
        <v>45197</v>
      </c>
      <c r="C218" s="17">
        <v>45199</v>
      </c>
      <c r="D218" s="18" t="s">
        <v>211</v>
      </c>
      <c r="E218" s="18" t="s">
        <v>577</v>
      </c>
      <c r="F218" s="18" t="str">
        <f>RAW_DATA!F223</f>
        <v>WH-A</v>
      </c>
      <c r="G218" s="18">
        <f>RAW_DATA!G223</f>
        <v>128</v>
      </c>
      <c r="H218" s="18">
        <f>RAW_DATA!H223</f>
        <v>128</v>
      </c>
      <c r="I218" s="24">
        <f>RAW_DATA!I223</f>
        <v>7.29</v>
      </c>
      <c r="J218" s="24">
        <f>RAW_DATA!J223</f>
        <v>4.84</v>
      </c>
      <c r="K218" s="18">
        <f>RAW_DATA!K223</f>
        <v>6</v>
      </c>
      <c r="L218" s="24">
        <f>RAW_DATA!L223</f>
        <v>658.34</v>
      </c>
      <c r="M218" s="18">
        <f t="shared" si="6"/>
        <v>2</v>
      </c>
      <c r="N218" s="18" t="str">
        <f t="shared" si="7"/>
        <v>On Time</v>
      </c>
    </row>
    <row r="219" spans="1:14" hidden="1" x14ac:dyDescent="0.3">
      <c r="A219" s="13" t="str">
        <f>RAW_DATA!A224</f>
        <v>ORD-0223</v>
      </c>
      <c r="B219" s="14">
        <v>45215</v>
      </c>
      <c r="C219" s="14">
        <v>45217</v>
      </c>
      <c r="D219" s="15" t="s">
        <v>569</v>
      </c>
      <c r="E219" s="15" t="s">
        <v>575</v>
      </c>
      <c r="F219" s="15" t="str">
        <f>RAW_DATA!F224</f>
        <v>WH-E</v>
      </c>
      <c r="G219" s="15">
        <f>RAW_DATA!G224</f>
        <v>181</v>
      </c>
      <c r="H219" s="15">
        <f>RAW_DATA!H224</f>
        <v>139</v>
      </c>
      <c r="I219" s="23">
        <f>RAW_DATA!I224</f>
        <v>17.28</v>
      </c>
      <c r="J219" s="23">
        <f>RAW_DATA!J224</f>
        <v>12.1</v>
      </c>
      <c r="K219" s="15">
        <f>RAW_DATA!K224</f>
        <v>4</v>
      </c>
      <c r="L219" s="23">
        <f>RAW_DATA!L224</f>
        <v>2907.64</v>
      </c>
      <c r="M219" s="15">
        <f t="shared" si="6"/>
        <v>2</v>
      </c>
      <c r="N219" s="15" t="str">
        <f t="shared" si="7"/>
        <v>On Time</v>
      </c>
    </row>
    <row r="220" spans="1:14" hidden="1" x14ac:dyDescent="0.3">
      <c r="A220" s="16" t="str">
        <f>RAW_DATA!A225</f>
        <v>ORD-0224</v>
      </c>
      <c r="B220" s="17">
        <v>45010</v>
      </c>
      <c r="C220" s="17">
        <v>45014</v>
      </c>
      <c r="D220" s="18" t="s">
        <v>571</v>
      </c>
      <c r="E220" s="18" t="s">
        <v>573</v>
      </c>
      <c r="F220" s="18" t="str">
        <f>RAW_DATA!F225</f>
        <v>WH-C</v>
      </c>
      <c r="G220" s="18">
        <f>RAW_DATA!G225</f>
        <v>366</v>
      </c>
      <c r="H220" s="18">
        <f>RAW_DATA!H225</f>
        <v>366</v>
      </c>
      <c r="I220" s="24">
        <f>RAW_DATA!I225</f>
        <v>11.99</v>
      </c>
      <c r="J220" s="24">
        <f>RAW_DATA!J225</f>
        <v>8.41</v>
      </c>
      <c r="K220" s="18">
        <f>RAW_DATA!K225</f>
        <v>4</v>
      </c>
      <c r="L220" s="24">
        <f>RAW_DATA!L225</f>
        <v>3028.72</v>
      </c>
      <c r="M220" s="18">
        <f t="shared" si="6"/>
        <v>4</v>
      </c>
      <c r="N220" s="18" t="str">
        <f t="shared" si="7"/>
        <v>On Time</v>
      </c>
    </row>
    <row r="221" spans="1:14" hidden="1" x14ac:dyDescent="0.3">
      <c r="A221" s="13" t="str">
        <f>RAW_DATA!A226</f>
        <v>ORD-0225</v>
      </c>
      <c r="B221" s="14">
        <v>44954</v>
      </c>
      <c r="C221" s="14">
        <v>44956</v>
      </c>
      <c r="D221" s="15" t="s">
        <v>569</v>
      </c>
      <c r="E221" s="15" t="s">
        <v>577</v>
      </c>
      <c r="F221" s="15" t="str">
        <f>RAW_DATA!F226</f>
        <v>WH-C</v>
      </c>
      <c r="G221" s="15">
        <f>RAW_DATA!G226</f>
        <v>58</v>
      </c>
      <c r="H221" s="15">
        <f>RAW_DATA!H226</f>
        <v>58</v>
      </c>
      <c r="I221" s="23">
        <f>RAW_DATA!I226</f>
        <v>7.57</v>
      </c>
      <c r="J221" s="23">
        <f>RAW_DATA!J226</f>
        <v>5.61</v>
      </c>
      <c r="K221" s="15">
        <f>RAW_DATA!K226</f>
        <v>4</v>
      </c>
      <c r="L221" s="23">
        <f>RAW_DATA!L226</f>
        <v>370.29</v>
      </c>
      <c r="M221" s="15">
        <f t="shared" si="6"/>
        <v>2</v>
      </c>
      <c r="N221" s="15" t="str">
        <f t="shared" si="7"/>
        <v>On Time</v>
      </c>
    </row>
    <row r="222" spans="1:14" hidden="1" x14ac:dyDescent="0.3">
      <c r="A222" s="16" t="str">
        <f>RAW_DATA!A227</f>
        <v>ORD-0226</v>
      </c>
      <c r="B222" s="17">
        <v>45157</v>
      </c>
      <c r="C222" s="17">
        <v>45160</v>
      </c>
      <c r="D222" s="18" t="s">
        <v>211</v>
      </c>
      <c r="E222" s="18" t="s">
        <v>573</v>
      </c>
      <c r="F222" s="18" t="str">
        <f>RAW_DATA!F227</f>
        <v>WH-C</v>
      </c>
      <c r="G222" s="18">
        <f>RAW_DATA!G227</f>
        <v>303</v>
      </c>
      <c r="H222" s="18">
        <f>RAW_DATA!H227</f>
        <v>303</v>
      </c>
      <c r="I222" s="24">
        <f>RAW_DATA!I227</f>
        <v>12.71</v>
      </c>
      <c r="J222" s="24">
        <f>RAW_DATA!J227</f>
        <v>8.7200000000000006</v>
      </c>
      <c r="K222" s="18">
        <f>RAW_DATA!K227</f>
        <v>6</v>
      </c>
      <c r="L222" s="24">
        <f>RAW_DATA!L227</f>
        <v>3425.3</v>
      </c>
      <c r="M222" s="18">
        <f t="shared" si="6"/>
        <v>3</v>
      </c>
      <c r="N222" s="18" t="str">
        <f t="shared" si="7"/>
        <v>On Time</v>
      </c>
    </row>
    <row r="223" spans="1:14" hidden="1" x14ac:dyDescent="0.3">
      <c r="A223" s="13" t="str">
        <f>RAW_DATA!A228</f>
        <v>ORD-0227</v>
      </c>
      <c r="B223" s="14">
        <v>45053</v>
      </c>
      <c r="C223" s="14">
        <v>45054</v>
      </c>
      <c r="D223" s="15" t="s">
        <v>569</v>
      </c>
      <c r="E223" s="15" t="s">
        <v>577</v>
      </c>
      <c r="F223" s="15" t="str">
        <f>RAW_DATA!F228</f>
        <v>WH-C</v>
      </c>
      <c r="G223" s="15">
        <f>RAW_DATA!G228</f>
        <v>157</v>
      </c>
      <c r="H223" s="15">
        <f>RAW_DATA!H228</f>
        <v>157</v>
      </c>
      <c r="I223" s="23">
        <f>RAW_DATA!I228</f>
        <v>7.36</v>
      </c>
      <c r="J223" s="23">
        <f>RAW_DATA!J228</f>
        <v>4.9800000000000004</v>
      </c>
      <c r="K223" s="15">
        <f>RAW_DATA!K228</f>
        <v>4</v>
      </c>
      <c r="L223" s="23">
        <f>RAW_DATA!L228</f>
        <v>1050.6600000000001</v>
      </c>
      <c r="M223" s="15">
        <f t="shared" si="6"/>
        <v>1</v>
      </c>
      <c r="N223" s="15" t="str">
        <f t="shared" si="7"/>
        <v>On Time</v>
      </c>
    </row>
    <row r="224" spans="1:14" hidden="1" x14ac:dyDescent="0.3">
      <c r="A224" s="16" t="str">
        <f>RAW_DATA!A229</f>
        <v>ORD-0228</v>
      </c>
      <c r="B224" s="17">
        <v>44973</v>
      </c>
      <c r="C224" s="17">
        <v>44976</v>
      </c>
      <c r="D224" s="18" t="s">
        <v>211</v>
      </c>
      <c r="E224" s="18" t="s">
        <v>575</v>
      </c>
      <c r="F224" s="18" t="str">
        <f>RAW_DATA!F229</f>
        <v>WH-A</v>
      </c>
      <c r="G224" s="18">
        <f>RAW_DATA!G229</f>
        <v>247</v>
      </c>
      <c r="H224" s="18">
        <f>RAW_DATA!H229</f>
        <v>247</v>
      </c>
      <c r="I224" s="24">
        <f>RAW_DATA!I229</f>
        <v>14.43</v>
      </c>
      <c r="J224" s="24">
        <f>RAW_DATA!J229</f>
        <v>8.32</v>
      </c>
      <c r="K224" s="18">
        <f>RAW_DATA!K229</f>
        <v>6</v>
      </c>
      <c r="L224" s="24">
        <f>RAW_DATA!L229</f>
        <v>2080.59</v>
      </c>
      <c r="M224" s="18">
        <f t="shared" si="6"/>
        <v>3</v>
      </c>
      <c r="N224" s="18" t="str">
        <f t="shared" si="7"/>
        <v>On Time</v>
      </c>
    </row>
    <row r="225" spans="1:14" x14ac:dyDescent="0.3">
      <c r="A225" s="13" t="str">
        <f>RAW_DATA!A230</f>
        <v>ORD-0229</v>
      </c>
      <c r="B225" s="14">
        <v>45189</v>
      </c>
      <c r="C225" s="14">
        <v>45190</v>
      </c>
      <c r="D225" s="15" t="s">
        <v>570</v>
      </c>
      <c r="E225" s="15" t="s">
        <v>577</v>
      </c>
      <c r="F225" s="15" t="str">
        <f>RAW_DATA!F230</f>
        <v>WH-E</v>
      </c>
      <c r="G225" s="15">
        <f>RAW_DATA!G230</f>
        <v>65</v>
      </c>
      <c r="H225" s="15">
        <f>RAW_DATA!H230</f>
        <v>65</v>
      </c>
      <c r="I225" s="23">
        <f>RAW_DATA!I230</f>
        <v>5.14</v>
      </c>
      <c r="J225" s="23">
        <f>RAW_DATA!J230</f>
        <v>3.44</v>
      </c>
      <c r="K225" s="15">
        <f>RAW_DATA!K230</f>
        <v>7</v>
      </c>
      <c r="L225" s="23">
        <f>RAW_DATA!L230</f>
        <v>244.77</v>
      </c>
      <c r="M225" s="15">
        <f t="shared" si="6"/>
        <v>1</v>
      </c>
      <c r="N225" s="15" t="str">
        <f t="shared" si="7"/>
        <v>On Time</v>
      </c>
    </row>
    <row r="226" spans="1:14" hidden="1" x14ac:dyDescent="0.3">
      <c r="A226" s="16" t="str">
        <f>RAW_DATA!A231</f>
        <v>ORD-0230</v>
      </c>
      <c r="B226" s="17">
        <v>45138</v>
      </c>
      <c r="C226" s="17">
        <v>45139</v>
      </c>
      <c r="D226" s="18" t="s">
        <v>571</v>
      </c>
      <c r="E226" s="18" t="s">
        <v>573</v>
      </c>
      <c r="F226" s="18" t="str">
        <f>RAW_DATA!F231</f>
        <v>WH-C</v>
      </c>
      <c r="G226" s="18">
        <f>RAW_DATA!G231</f>
        <v>391</v>
      </c>
      <c r="H226" s="18">
        <f>RAW_DATA!H231</f>
        <v>391</v>
      </c>
      <c r="I226" s="24">
        <f>RAW_DATA!I231</f>
        <v>16.12</v>
      </c>
      <c r="J226" s="24">
        <f>RAW_DATA!J231</f>
        <v>12.02</v>
      </c>
      <c r="K226" s="18">
        <f>RAW_DATA!K231</f>
        <v>4</v>
      </c>
      <c r="L226" s="24">
        <f>RAW_DATA!L231</f>
        <v>5842.7</v>
      </c>
      <c r="M226" s="18">
        <f t="shared" si="6"/>
        <v>1</v>
      </c>
      <c r="N226" s="18" t="str">
        <f t="shared" si="7"/>
        <v>On Time</v>
      </c>
    </row>
    <row r="227" spans="1:14" hidden="1" x14ac:dyDescent="0.3">
      <c r="A227" s="13" t="str">
        <f>RAW_DATA!A232</f>
        <v>ORD-0231</v>
      </c>
      <c r="B227" s="14">
        <v>44998</v>
      </c>
      <c r="C227" s="14">
        <v>45000</v>
      </c>
      <c r="D227" s="15" t="s">
        <v>198</v>
      </c>
      <c r="E227" s="15" t="s">
        <v>576</v>
      </c>
      <c r="F227" s="20">
        <f>RAW_DATA!F232</f>
        <v>0</v>
      </c>
      <c r="G227" s="15">
        <f>RAW_DATA!G232</f>
        <v>272</v>
      </c>
      <c r="H227" s="15">
        <f>RAW_DATA!H232</f>
        <v>272</v>
      </c>
      <c r="I227" s="23">
        <f>RAW_DATA!I232</f>
        <v>18.010000000000002</v>
      </c>
      <c r="J227" s="23">
        <f>RAW_DATA!J232</f>
        <v>10.9</v>
      </c>
      <c r="K227" s="15">
        <f>RAW_DATA!K232</f>
        <v>2</v>
      </c>
      <c r="L227" s="23">
        <f>RAW_DATA!L232</f>
        <v>3201.54</v>
      </c>
      <c r="M227" s="15">
        <f t="shared" si="6"/>
        <v>2</v>
      </c>
      <c r="N227" s="15" t="str">
        <f t="shared" si="7"/>
        <v>On Time</v>
      </c>
    </row>
    <row r="228" spans="1:14" hidden="1" x14ac:dyDescent="0.3">
      <c r="A228" s="16" t="str">
        <f>RAW_DATA!A233</f>
        <v>ORD-0232</v>
      </c>
      <c r="B228" s="17">
        <v>45053</v>
      </c>
      <c r="C228" s="17">
        <v>45057</v>
      </c>
      <c r="D228" s="18" t="s">
        <v>569</v>
      </c>
      <c r="E228" s="18" t="s">
        <v>575</v>
      </c>
      <c r="F228" s="18" t="str">
        <f>RAW_DATA!F233</f>
        <v>WH-C</v>
      </c>
      <c r="G228" s="18">
        <f>RAW_DATA!G233</f>
        <v>324</v>
      </c>
      <c r="H228" s="18">
        <f>RAW_DATA!H233</f>
        <v>324</v>
      </c>
      <c r="I228" s="24">
        <f>RAW_DATA!I233</f>
        <v>16.12</v>
      </c>
      <c r="J228" s="24">
        <f>RAW_DATA!J233</f>
        <v>9.3000000000000007</v>
      </c>
      <c r="K228" s="18">
        <f>RAW_DATA!K233</f>
        <v>4</v>
      </c>
      <c r="L228" s="24">
        <f>RAW_DATA!L233</f>
        <v>2724.11</v>
      </c>
      <c r="M228" s="18">
        <f t="shared" si="6"/>
        <v>4</v>
      </c>
      <c r="N228" s="18" t="str">
        <f t="shared" si="7"/>
        <v>On Time</v>
      </c>
    </row>
    <row r="229" spans="1:14" hidden="1" x14ac:dyDescent="0.3">
      <c r="A229" s="13" t="str">
        <f>RAW_DATA!A234</f>
        <v>ORD-0233</v>
      </c>
      <c r="B229" s="14">
        <v>45121</v>
      </c>
      <c r="C229" s="14">
        <v>45124</v>
      </c>
      <c r="D229" s="15" t="s">
        <v>571</v>
      </c>
      <c r="E229" s="15" t="s">
        <v>575</v>
      </c>
      <c r="F229" s="15" t="str">
        <f>RAW_DATA!F234</f>
        <v>WH-E</v>
      </c>
      <c r="G229" s="15">
        <f>RAW_DATA!G234</f>
        <v>245</v>
      </c>
      <c r="H229" s="15">
        <f>RAW_DATA!H234</f>
        <v>245</v>
      </c>
      <c r="I229" s="23">
        <f>RAW_DATA!I234</f>
        <v>19.34</v>
      </c>
      <c r="J229" s="23">
        <f>RAW_DATA!J234</f>
        <v>13.96</v>
      </c>
      <c r="K229" s="15">
        <f>RAW_DATA!K234</f>
        <v>4</v>
      </c>
      <c r="L229" s="23">
        <f>RAW_DATA!L234</f>
        <v>5077.41</v>
      </c>
      <c r="M229" s="15">
        <f t="shared" si="6"/>
        <v>3</v>
      </c>
      <c r="N229" s="15" t="str">
        <f t="shared" si="7"/>
        <v>On Time</v>
      </c>
    </row>
    <row r="230" spans="1:14" hidden="1" x14ac:dyDescent="0.3">
      <c r="A230" s="16" t="str">
        <f>RAW_DATA!A235</f>
        <v>ORD-0234</v>
      </c>
      <c r="B230" s="17">
        <v>45235</v>
      </c>
      <c r="C230" s="17">
        <v>45236</v>
      </c>
      <c r="D230" s="18" t="s">
        <v>198</v>
      </c>
      <c r="E230" s="18" t="s">
        <v>575</v>
      </c>
      <c r="F230" s="18" t="str">
        <f>RAW_DATA!F235</f>
        <v>WH-C</v>
      </c>
      <c r="G230" s="18">
        <f>RAW_DATA!G235</f>
        <v>265</v>
      </c>
      <c r="H230" s="18">
        <f>RAW_DATA!H235</f>
        <v>265</v>
      </c>
      <c r="I230" s="24">
        <f>RAW_DATA!I235</f>
        <v>20.68</v>
      </c>
      <c r="J230" s="24">
        <f>RAW_DATA!J235</f>
        <v>15.38</v>
      </c>
      <c r="K230" s="18">
        <f>RAW_DATA!K235</f>
        <v>2</v>
      </c>
      <c r="L230" s="24">
        <f>RAW_DATA!L235</f>
        <v>4380.84</v>
      </c>
      <c r="M230" s="18">
        <f t="shared" si="6"/>
        <v>1</v>
      </c>
      <c r="N230" s="18" t="str">
        <f t="shared" si="7"/>
        <v>On Time</v>
      </c>
    </row>
    <row r="231" spans="1:14" x14ac:dyDescent="0.3">
      <c r="A231" s="13" t="str">
        <f>RAW_DATA!A236</f>
        <v>ORD-0235</v>
      </c>
      <c r="B231" s="14">
        <v>45093</v>
      </c>
      <c r="C231" s="14">
        <v>45100</v>
      </c>
      <c r="D231" s="15" t="s">
        <v>570</v>
      </c>
      <c r="E231" s="15" t="s">
        <v>577</v>
      </c>
      <c r="F231" s="15" t="str">
        <f>RAW_DATA!F236</f>
        <v>WH-B</v>
      </c>
      <c r="G231" s="15">
        <f>RAW_DATA!G236</f>
        <v>221</v>
      </c>
      <c r="H231" s="15">
        <f>RAW_DATA!H236</f>
        <v>248</v>
      </c>
      <c r="I231" s="23">
        <f>RAW_DATA!I236</f>
        <v>8.16</v>
      </c>
      <c r="J231" s="23">
        <f>RAW_DATA!J236</f>
        <v>4.8099999999999996</v>
      </c>
      <c r="K231" s="15">
        <f>RAW_DATA!K236</f>
        <v>7</v>
      </c>
      <c r="L231" s="23">
        <f>RAW_DATA!L236</f>
        <v>1592.77</v>
      </c>
      <c r="M231" s="15">
        <f t="shared" si="6"/>
        <v>7</v>
      </c>
      <c r="N231" s="15" t="str">
        <f t="shared" si="7"/>
        <v>On Time</v>
      </c>
    </row>
    <row r="232" spans="1:14" hidden="1" x14ac:dyDescent="0.3">
      <c r="A232" s="16" t="str">
        <f>RAW_DATA!A237</f>
        <v>ORD-0236</v>
      </c>
      <c r="B232" s="17">
        <v>45163</v>
      </c>
      <c r="C232" s="17">
        <v>45164</v>
      </c>
      <c r="D232" s="18" t="s">
        <v>198</v>
      </c>
      <c r="E232" s="18" t="s">
        <v>577</v>
      </c>
      <c r="F232" s="18" t="str">
        <f>RAW_DATA!F237</f>
        <v>WH-A</v>
      </c>
      <c r="G232" s="18">
        <f>RAW_DATA!G237</f>
        <v>244</v>
      </c>
      <c r="H232" s="18">
        <f>RAW_DATA!H237</f>
        <v>244</v>
      </c>
      <c r="I232" s="24">
        <f>RAW_DATA!I237</f>
        <v>7.79</v>
      </c>
      <c r="J232" s="24">
        <f>RAW_DATA!J237</f>
        <v>4.3899999999999997</v>
      </c>
      <c r="K232" s="18">
        <f>RAW_DATA!K237</f>
        <v>2</v>
      </c>
      <c r="L232" s="24">
        <f>RAW_DATA!L237</f>
        <v>1508.91</v>
      </c>
      <c r="M232" s="18">
        <f t="shared" si="6"/>
        <v>1</v>
      </c>
      <c r="N232" s="18" t="str">
        <f t="shared" si="7"/>
        <v>On Time</v>
      </c>
    </row>
    <row r="233" spans="1:14" hidden="1" x14ac:dyDescent="0.3">
      <c r="A233" s="13" t="str">
        <f>RAW_DATA!A238</f>
        <v>ORD-0237</v>
      </c>
      <c r="B233" s="14">
        <v>45251</v>
      </c>
      <c r="C233" s="14">
        <v>45254</v>
      </c>
      <c r="D233" s="15" t="s">
        <v>571</v>
      </c>
      <c r="E233" s="15" t="s">
        <v>576</v>
      </c>
      <c r="F233" s="15" t="str">
        <f>RAW_DATA!F238</f>
        <v>WH-B</v>
      </c>
      <c r="G233" s="15">
        <f>RAW_DATA!G238</f>
        <v>357</v>
      </c>
      <c r="H233" s="15">
        <f>RAW_DATA!H238</f>
        <v>357</v>
      </c>
      <c r="I233" s="23">
        <f>RAW_DATA!I238</f>
        <v>21.08</v>
      </c>
      <c r="J233" s="23">
        <f>RAW_DATA!J238</f>
        <v>13.18</v>
      </c>
      <c r="K233" s="15">
        <f>RAW_DATA!K238</f>
        <v>4</v>
      </c>
      <c r="L233" s="23">
        <f>RAW_DATA!L238</f>
        <v>5502.52</v>
      </c>
      <c r="M233" s="15">
        <f t="shared" si="6"/>
        <v>3</v>
      </c>
      <c r="N233" s="15" t="str">
        <f t="shared" si="7"/>
        <v>On Time</v>
      </c>
    </row>
    <row r="234" spans="1:14" x14ac:dyDescent="0.3">
      <c r="A234" s="16" t="str">
        <f>RAW_DATA!A239</f>
        <v>ORD-0238</v>
      </c>
      <c r="B234" s="17">
        <v>45200</v>
      </c>
      <c r="C234" s="17">
        <v>45207</v>
      </c>
      <c r="D234" s="18" t="s">
        <v>570</v>
      </c>
      <c r="E234" s="18" t="s">
        <v>577</v>
      </c>
      <c r="F234" s="18" t="str">
        <f>RAW_DATA!F239</f>
        <v>WH-D</v>
      </c>
      <c r="G234" s="18">
        <f>RAW_DATA!G239</f>
        <v>374</v>
      </c>
      <c r="H234" s="18">
        <f>RAW_DATA!H239</f>
        <v>374</v>
      </c>
      <c r="I234" s="24">
        <f>RAW_DATA!I239</f>
        <v>4.93</v>
      </c>
      <c r="J234" s="24">
        <f>RAW_DATA!J239</f>
        <v>3.67</v>
      </c>
      <c r="K234" s="18">
        <f>RAW_DATA!K239</f>
        <v>7</v>
      </c>
      <c r="L234" s="24">
        <f>RAW_DATA!L239</f>
        <v>1813.15</v>
      </c>
      <c r="M234" s="18">
        <f t="shared" si="6"/>
        <v>7</v>
      </c>
      <c r="N234" s="18" t="str">
        <f t="shared" si="7"/>
        <v>On Time</v>
      </c>
    </row>
    <row r="235" spans="1:14" hidden="1" x14ac:dyDescent="0.3">
      <c r="A235" s="13" t="str">
        <f>RAW_DATA!A240</f>
        <v>ORD-0239</v>
      </c>
      <c r="B235" s="14">
        <v>45263</v>
      </c>
      <c r="C235" s="14">
        <v>45265</v>
      </c>
      <c r="D235" s="15" t="s">
        <v>569</v>
      </c>
      <c r="E235" s="15" t="s">
        <v>573</v>
      </c>
      <c r="F235" s="15" t="str">
        <f>RAW_DATA!F240</f>
        <v>WH-B</v>
      </c>
      <c r="G235" s="15">
        <f>RAW_DATA!G240</f>
        <v>351</v>
      </c>
      <c r="H235" s="15">
        <f>RAW_DATA!H240</f>
        <v>351</v>
      </c>
      <c r="I235" s="23" t="str">
        <f>RAW_DATA!I240</f>
        <v>$13.66</v>
      </c>
      <c r="J235" s="23">
        <f>RAW_DATA!J240</f>
        <v>9.2799999999999994</v>
      </c>
      <c r="K235" s="15">
        <f>RAW_DATA!K240</f>
        <v>4</v>
      </c>
      <c r="L235" s="23">
        <f>RAW_DATA!L240</f>
        <v>4195.53</v>
      </c>
      <c r="M235" s="15">
        <f t="shared" si="6"/>
        <v>2</v>
      </c>
      <c r="N235" s="15" t="str">
        <f t="shared" si="7"/>
        <v>On Time</v>
      </c>
    </row>
    <row r="236" spans="1:14" hidden="1" x14ac:dyDescent="0.3">
      <c r="A236" s="16" t="str">
        <f>RAW_DATA!A241</f>
        <v>ORD-0240</v>
      </c>
      <c r="B236" s="17">
        <v>44932</v>
      </c>
      <c r="C236" s="17">
        <v>44934</v>
      </c>
      <c r="D236" s="18" t="s">
        <v>211</v>
      </c>
      <c r="E236" s="18" t="s">
        <v>576</v>
      </c>
      <c r="F236" s="18" t="str">
        <f>RAW_DATA!F241</f>
        <v>WH-A</v>
      </c>
      <c r="G236" s="18">
        <f>RAW_DATA!G241</f>
        <v>281</v>
      </c>
      <c r="H236" s="18">
        <f>RAW_DATA!H241</f>
        <v>281</v>
      </c>
      <c r="I236" s="24">
        <f>RAW_DATA!I241</f>
        <v>22.7</v>
      </c>
      <c r="J236" s="24">
        <f>RAW_DATA!J241</f>
        <v>15.61</v>
      </c>
      <c r="K236" s="18">
        <f>RAW_DATA!K241</f>
        <v>6</v>
      </c>
      <c r="L236" s="24">
        <f>RAW_DATA!L241</f>
        <v>4529.49</v>
      </c>
      <c r="M236" s="18">
        <f t="shared" si="6"/>
        <v>2</v>
      </c>
      <c r="N236" s="18" t="str">
        <f t="shared" si="7"/>
        <v>On Time</v>
      </c>
    </row>
    <row r="237" spans="1:14" hidden="1" x14ac:dyDescent="0.3">
      <c r="A237" s="13" t="str">
        <f>RAW_DATA!A242</f>
        <v>ORD-0241</v>
      </c>
      <c r="B237" s="14">
        <v>45274</v>
      </c>
      <c r="C237" s="14">
        <v>45279</v>
      </c>
      <c r="D237" s="15" t="s">
        <v>211</v>
      </c>
      <c r="E237" s="15" t="s">
        <v>576</v>
      </c>
      <c r="F237" s="15" t="str">
        <f>RAW_DATA!F242</f>
        <v>WH-D</v>
      </c>
      <c r="G237" s="15">
        <f>RAW_DATA!G242</f>
        <v>97</v>
      </c>
      <c r="H237" s="15">
        <f>RAW_DATA!H242</f>
        <v>97</v>
      </c>
      <c r="I237" s="23">
        <f>RAW_DATA!I242</f>
        <v>16.29</v>
      </c>
      <c r="J237" s="23">
        <f>RAW_DATA!J242</f>
        <v>9.3000000000000007</v>
      </c>
      <c r="K237" s="15">
        <f>RAW_DATA!K242</f>
        <v>6</v>
      </c>
      <c r="L237" s="23">
        <f>RAW_DATA!L242</f>
        <v>1037.04</v>
      </c>
      <c r="M237" s="15">
        <f t="shared" si="6"/>
        <v>5</v>
      </c>
      <c r="N237" s="15" t="str">
        <f t="shared" si="7"/>
        <v>On Time</v>
      </c>
    </row>
    <row r="238" spans="1:14" hidden="1" x14ac:dyDescent="0.3">
      <c r="A238" s="16" t="str">
        <f>RAW_DATA!A243</f>
        <v>ORD-0242</v>
      </c>
      <c r="B238" s="17">
        <v>45105</v>
      </c>
      <c r="C238" s="17">
        <v>45109</v>
      </c>
      <c r="D238" s="18" t="s">
        <v>569</v>
      </c>
      <c r="E238" s="18" t="s">
        <v>573</v>
      </c>
      <c r="F238" s="18" t="str">
        <f>RAW_DATA!F243</f>
        <v>WH-B</v>
      </c>
      <c r="G238" s="18">
        <f>RAW_DATA!G243</f>
        <v>125</v>
      </c>
      <c r="H238" s="18">
        <f>RAW_DATA!H243</f>
        <v>125</v>
      </c>
      <c r="I238" s="24">
        <f>RAW_DATA!I243</f>
        <v>12.11</v>
      </c>
      <c r="J238" s="24">
        <f>RAW_DATA!J243</f>
        <v>6.9</v>
      </c>
      <c r="K238" s="18">
        <f>RAW_DATA!K243</f>
        <v>4</v>
      </c>
      <c r="L238" s="24">
        <f>RAW_DATA!L243</f>
        <v>1149.8800000000001</v>
      </c>
      <c r="M238" s="18">
        <f t="shared" si="6"/>
        <v>4</v>
      </c>
      <c r="N238" s="18" t="str">
        <f t="shared" si="7"/>
        <v>On Time</v>
      </c>
    </row>
    <row r="239" spans="1:14" x14ac:dyDescent="0.3">
      <c r="A239" s="13" t="str">
        <f>RAW_DATA!A244</f>
        <v>ORD-0243</v>
      </c>
      <c r="B239" s="14">
        <v>45080</v>
      </c>
      <c r="C239" s="14">
        <v>45086</v>
      </c>
      <c r="D239" s="15" t="s">
        <v>570</v>
      </c>
      <c r="E239" s="15" t="s">
        <v>575</v>
      </c>
      <c r="F239" s="15" t="str">
        <f>RAW_DATA!F244</f>
        <v>WH-A</v>
      </c>
      <c r="G239" s="15">
        <f>RAW_DATA!G244</f>
        <v>78</v>
      </c>
      <c r="H239" s="15">
        <f>RAW_DATA!H244</f>
        <v>64</v>
      </c>
      <c r="I239" s="23">
        <f>RAW_DATA!I244</f>
        <v>17.829999999999998</v>
      </c>
      <c r="J239" s="23">
        <f>RAW_DATA!J244</f>
        <v>12.22</v>
      </c>
      <c r="K239" s="15">
        <f>RAW_DATA!K244</f>
        <v>7</v>
      </c>
      <c r="L239" s="23">
        <f>RAW_DATA!L244</f>
        <v>951.84</v>
      </c>
      <c r="M239" s="15">
        <f t="shared" si="6"/>
        <v>6</v>
      </c>
      <c r="N239" s="15" t="str">
        <f t="shared" si="7"/>
        <v>On Time</v>
      </c>
    </row>
    <row r="240" spans="1:14" hidden="1" x14ac:dyDescent="0.3">
      <c r="A240" s="16" t="str">
        <f>RAW_DATA!A245</f>
        <v>ORD-0244</v>
      </c>
      <c r="B240" s="17">
        <v>45209</v>
      </c>
      <c r="C240" s="17">
        <v>45214</v>
      </c>
      <c r="D240" s="18" t="s">
        <v>572</v>
      </c>
      <c r="E240" s="18" t="s">
        <v>577</v>
      </c>
      <c r="F240" s="18" t="str">
        <f>RAW_DATA!F245</f>
        <v>WH-B</v>
      </c>
      <c r="G240" s="18">
        <f>RAW_DATA!G245</f>
        <v>238</v>
      </c>
      <c r="H240" s="18">
        <f>RAW_DATA!H245</f>
        <v>238</v>
      </c>
      <c r="I240" s="24">
        <f>RAW_DATA!I245</f>
        <v>5.63</v>
      </c>
      <c r="J240" s="24">
        <f>RAW_DATA!J245</f>
        <v>3.55</v>
      </c>
      <c r="K240" s="18">
        <f>RAW_DATA!K245</f>
        <v>5</v>
      </c>
      <c r="L240" s="24">
        <f>RAW_DATA!L245</f>
        <v>853.92</v>
      </c>
      <c r="M240" s="18">
        <f t="shared" si="6"/>
        <v>5</v>
      </c>
      <c r="N240" s="18" t="str">
        <f t="shared" si="7"/>
        <v>On Time</v>
      </c>
    </row>
    <row r="241" spans="1:14" hidden="1" x14ac:dyDescent="0.3">
      <c r="A241" s="13" t="str">
        <f>RAW_DATA!A246</f>
        <v>ORD-0245</v>
      </c>
      <c r="B241" s="14">
        <v>45241</v>
      </c>
      <c r="C241" s="14">
        <v>45245</v>
      </c>
      <c r="D241" s="15" t="s">
        <v>571</v>
      </c>
      <c r="E241" s="15" t="s">
        <v>576</v>
      </c>
      <c r="F241" s="15" t="str">
        <f>RAW_DATA!F246</f>
        <v>WH-A</v>
      </c>
      <c r="G241" s="15">
        <f>RAW_DATA!G246</f>
        <v>323</v>
      </c>
      <c r="H241" s="15">
        <f>RAW_DATA!H246</f>
        <v>323</v>
      </c>
      <c r="I241" s="23">
        <f>RAW_DATA!I246</f>
        <v>16.05</v>
      </c>
      <c r="J241" s="23">
        <f>RAW_DATA!J246</f>
        <v>9.52</v>
      </c>
      <c r="K241" s="15">
        <f>RAW_DATA!K246</f>
        <v>4</v>
      </c>
      <c r="L241" s="23">
        <f>RAW_DATA!L246</f>
        <v>3281</v>
      </c>
      <c r="M241" s="15">
        <f t="shared" si="6"/>
        <v>4</v>
      </c>
      <c r="N241" s="15" t="str">
        <f t="shared" si="7"/>
        <v>On Time</v>
      </c>
    </row>
    <row r="242" spans="1:14" hidden="1" x14ac:dyDescent="0.3">
      <c r="A242" s="16" t="str">
        <f>RAW_DATA!A247</f>
        <v>ORD-0246</v>
      </c>
      <c r="B242" s="17">
        <v>45201</v>
      </c>
      <c r="C242" s="17">
        <v>45204</v>
      </c>
      <c r="D242" s="18" t="s">
        <v>569</v>
      </c>
      <c r="E242" s="18" t="s">
        <v>577</v>
      </c>
      <c r="F242" s="18" t="str">
        <f>RAW_DATA!F247</f>
        <v>WH-A</v>
      </c>
      <c r="G242" s="18">
        <f>RAW_DATA!G247</f>
        <v>120</v>
      </c>
      <c r="H242" s="18">
        <f>RAW_DATA!H247</f>
        <v>120</v>
      </c>
      <c r="I242" s="24">
        <f>RAW_DATA!I247</f>
        <v>5.74</v>
      </c>
      <c r="J242" s="24">
        <f>RAW_DATA!J247</f>
        <v>4.1500000000000004</v>
      </c>
      <c r="K242" s="18">
        <f>RAW_DATA!K247</f>
        <v>4</v>
      </c>
      <c r="L242" s="24">
        <f>RAW_DATA!L247</f>
        <v>605.88</v>
      </c>
      <c r="M242" s="18">
        <f t="shared" si="6"/>
        <v>3</v>
      </c>
      <c r="N242" s="18" t="str">
        <f t="shared" si="7"/>
        <v>On Time</v>
      </c>
    </row>
    <row r="243" spans="1:14" hidden="1" x14ac:dyDescent="0.3">
      <c r="A243" s="13" t="str">
        <f>RAW_DATA!A248</f>
        <v>ORD-0247</v>
      </c>
      <c r="B243" s="14">
        <v>45239</v>
      </c>
      <c r="C243" s="14">
        <v>45240</v>
      </c>
      <c r="D243" s="15" t="s">
        <v>211</v>
      </c>
      <c r="E243" s="15" t="s">
        <v>577</v>
      </c>
      <c r="F243" s="15" t="str">
        <f>RAW_DATA!F248</f>
        <v>WH-D</v>
      </c>
      <c r="G243" s="15">
        <f>RAW_DATA!G248</f>
        <v>198</v>
      </c>
      <c r="H243" s="15">
        <f>RAW_DATA!H248</f>
        <v>198</v>
      </c>
      <c r="I243" s="23">
        <f>RAW_DATA!I248</f>
        <v>6.45</v>
      </c>
      <c r="J243" s="23">
        <f>RAW_DATA!J248</f>
        <v>3.77</v>
      </c>
      <c r="K243" s="15">
        <f>RAW_DATA!K248</f>
        <v>6</v>
      </c>
      <c r="L243" s="23">
        <f>RAW_DATA!L248</f>
        <v>973.5</v>
      </c>
      <c r="M243" s="15">
        <f t="shared" si="6"/>
        <v>1</v>
      </c>
      <c r="N243" s="15" t="str">
        <f t="shared" si="7"/>
        <v>On Time</v>
      </c>
    </row>
    <row r="244" spans="1:14" hidden="1" x14ac:dyDescent="0.3">
      <c r="A244" s="16" t="str">
        <f>RAW_DATA!A249</f>
        <v>ORD-0248</v>
      </c>
      <c r="B244" s="17">
        <v>44970</v>
      </c>
      <c r="C244" s="17">
        <v>44972</v>
      </c>
      <c r="D244" s="18" t="s">
        <v>579</v>
      </c>
      <c r="E244" s="18" t="s">
        <v>577</v>
      </c>
      <c r="F244" s="18" t="str">
        <f>RAW_DATA!F249</f>
        <v>WH-E</v>
      </c>
      <c r="G244" s="18">
        <f>RAW_DATA!G249</f>
        <v>80</v>
      </c>
      <c r="H244" s="18">
        <f>RAW_DATA!H249</f>
        <v>80</v>
      </c>
      <c r="I244" s="24">
        <f>RAW_DATA!I249</f>
        <v>5.22</v>
      </c>
      <c r="J244" s="24">
        <f>RAW_DATA!J249</f>
        <v>3.26</v>
      </c>
      <c r="K244" s="18">
        <f>RAW_DATA!K249</f>
        <v>3</v>
      </c>
      <c r="L244" s="24">
        <f>RAW_DATA!L249</f>
        <v>256.83999999999997</v>
      </c>
      <c r="M244" s="18">
        <f t="shared" si="6"/>
        <v>2</v>
      </c>
      <c r="N244" s="18" t="str">
        <f t="shared" si="7"/>
        <v>On Time</v>
      </c>
    </row>
    <row r="245" spans="1:14" hidden="1" x14ac:dyDescent="0.3">
      <c r="A245" s="13" t="str">
        <f>RAW_DATA!A250</f>
        <v>ORD-0249</v>
      </c>
      <c r="B245" s="14">
        <v>44997</v>
      </c>
      <c r="C245" s="14">
        <v>45001</v>
      </c>
      <c r="D245" s="15" t="s">
        <v>571</v>
      </c>
      <c r="E245" s="15" t="s">
        <v>576</v>
      </c>
      <c r="F245" s="15" t="str">
        <f>RAW_DATA!F250</f>
        <v>WH-E</v>
      </c>
      <c r="G245" s="15">
        <f>RAW_DATA!G250</f>
        <v>115</v>
      </c>
      <c r="H245" s="15">
        <f>RAW_DATA!H250</f>
        <v>115</v>
      </c>
      <c r="I245" s="23">
        <f>RAW_DATA!I250</f>
        <v>22.45</v>
      </c>
      <c r="J245" s="23">
        <f>RAW_DATA!J250</f>
        <v>16.47</v>
      </c>
      <c r="K245" s="15">
        <f>RAW_DATA!K250</f>
        <v>4</v>
      </c>
      <c r="L245" s="23">
        <f>RAW_DATA!L250</f>
        <v>2762.31</v>
      </c>
      <c r="M245" s="15">
        <f t="shared" si="6"/>
        <v>4</v>
      </c>
      <c r="N245" s="15" t="str">
        <f t="shared" si="7"/>
        <v>On Time</v>
      </c>
    </row>
    <row r="246" spans="1:14" hidden="1" x14ac:dyDescent="0.3">
      <c r="A246" s="16" t="str">
        <f>RAW_DATA!A251</f>
        <v>ORD-0250</v>
      </c>
      <c r="B246" s="17">
        <v>45177</v>
      </c>
      <c r="C246" s="17">
        <v>45178</v>
      </c>
      <c r="D246" s="18" t="s">
        <v>198</v>
      </c>
      <c r="E246" s="18" t="s">
        <v>577</v>
      </c>
      <c r="F246" s="18" t="str">
        <f>RAW_DATA!F251</f>
        <v>WH-B</v>
      </c>
      <c r="G246" s="18">
        <f>RAW_DATA!G251</f>
        <v>181</v>
      </c>
      <c r="H246" s="18">
        <f>RAW_DATA!H251</f>
        <v>181</v>
      </c>
      <c r="I246" s="24">
        <f>RAW_DATA!I251</f>
        <v>7.03</v>
      </c>
      <c r="J246" s="24">
        <f>RAW_DATA!J251</f>
        <v>5.08</v>
      </c>
      <c r="K246" s="18">
        <f>RAW_DATA!K251</f>
        <v>2</v>
      </c>
      <c r="L246" s="24">
        <f>RAW_DATA!L251</f>
        <v>1352.65</v>
      </c>
      <c r="M246" s="18">
        <f t="shared" si="6"/>
        <v>1</v>
      </c>
      <c r="N246" s="18" t="str">
        <f t="shared" si="7"/>
        <v>On Time</v>
      </c>
    </row>
    <row r="247" spans="1:14" x14ac:dyDescent="0.3">
      <c r="A247" s="13" t="str">
        <f>RAW_DATA!A252</f>
        <v>ORD-0251</v>
      </c>
      <c r="B247" s="14">
        <v>45123</v>
      </c>
      <c r="C247" s="14">
        <v>45128</v>
      </c>
      <c r="D247" s="15" t="s">
        <v>570</v>
      </c>
      <c r="E247" s="15" t="s">
        <v>574</v>
      </c>
      <c r="F247" s="15" t="str">
        <f>RAW_DATA!F252</f>
        <v>WH-B</v>
      </c>
      <c r="G247" s="15">
        <f>RAW_DATA!G252</f>
        <v>354</v>
      </c>
      <c r="H247" s="15">
        <f>RAW_DATA!H252</f>
        <v>354</v>
      </c>
      <c r="I247" s="23">
        <f>RAW_DATA!I252</f>
        <v>9.69</v>
      </c>
      <c r="J247" s="23">
        <f>RAW_DATA!J252</f>
        <v>6.13</v>
      </c>
      <c r="K247" s="15">
        <f>RAW_DATA!K252</f>
        <v>7</v>
      </c>
      <c r="L247" s="23">
        <f>RAW_DATA!L252</f>
        <v>3046.57</v>
      </c>
      <c r="M247" s="15">
        <f t="shared" si="6"/>
        <v>5</v>
      </c>
      <c r="N247" s="15" t="str">
        <f t="shared" si="7"/>
        <v>On Time</v>
      </c>
    </row>
    <row r="248" spans="1:14" x14ac:dyDescent="0.3">
      <c r="A248" s="16" t="str">
        <f>RAW_DATA!A253</f>
        <v>ORD-0252</v>
      </c>
      <c r="B248" s="17">
        <v>45216</v>
      </c>
      <c r="C248" s="17">
        <v>45223</v>
      </c>
      <c r="D248" s="18" t="s">
        <v>570</v>
      </c>
      <c r="E248" s="18" t="s">
        <v>574</v>
      </c>
      <c r="F248" s="18" t="str">
        <f>RAW_DATA!F253</f>
        <v>WH-A</v>
      </c>
      <c r="G248" s="18">
        <f>RAW_DATA!G253</f>
        <v>132</v>
      </c>
      <c r="H248" s="18">
        <f>RAW_DATA!H253</f>
        <v>132</v>
      </c>
      <c r="I248" s="24">
        <f>RAW_DATA!I253</f>
        <v>7.72</v>
      </c>
      <c r="J248" s="24">
        <f>RAW_DATA!J253</f>
        <v>5.08</v>
      </c>
      <c r="K248" s="18">
        <f>RAW_DATA!K253</f>
        <v>7</v>
      </c>
      <c r="L248" s="24">
        <f>RAW_DATA!L253</f>
        <v>671.18</v>
      </c>
      <c r="M248" s="18">
        <f t="shared" si="6"/>
        <v>7</v>
      </c>
      <c r="N248" s="18" t="str">
        <f t="shared" si="7"/>
        <v>On Time</v>
      </c>
    </row>
    <row r="249" spans="1:14" x14ac:dyDescent="0.3">
      <c r="A249" s="13" t="str">
        <f>RAW_DATA!A254</f>
        <v>ORD-0253</v>
      </c>
      <c r="B249" s="14">
        <v>45208</v>
      </c>
      <c r="C249" s="14">
        <v>45213</v>
      </c>
      <c r="D249" s="15" t="s">
        <v>570</v>
      </c>
      <c r="E249" s="15" t="s">
        <v>577</v>
      </c>
      <c r="F249" s="15" t="str">
        <f>RAW_DATA!F254</f>
        <v>WH-D</v>
      </c>
      <c r="G249" s="15">
        <f>RAW_DATA!G254</f>
        <v>78</v>
      </c>
      <c r="H249" s="15">
        <f>RAW_DATA!H254</f>
        <v>78</v>
      </c>
      <c r="I249" s="23">
        <f>RAW_DATA!I254</f>
        <v>6.76</v>
      </c>
      <c r="J249" s="23">
        <f>RAW_DATA!J254</f>
        <v>5.0599999999999996</v>
      </c>
      <c r="K249" s="15">
        <f>RAW_DATA!K254</f>
        <v>7</v>
      </c>
      <c r="L249" s="23">
        <f>RAW_DATA!L254</f>
        <v>483.57</v>
      </c>
      <c r="M249" s="15">
        <f t="shared" si="6"/>
        <v>5</v>
      </c>
      <c r="N249" s="15" t="str">
        <f t="shared" si="7"/>
        <v>On Time</v>
      </c>
    </row>
    <row r="250" spans="1:14" x14ac:dyDescent="0.3">
      <c r="A250" s="16" t="str">
        <f>RAW_DATA!A256</f>
        <v>ORD-0255</v>
      </c>
      <c r="B250" s="17">
        <v>44971</v>
      </c>
      <c r="C250" s="17">
        <v>44972</v>
      </c>
      <c r="D250" s="18" t="s">
        <v>570</v>
      </c>
      <c r="E250" s="18" t="s">
        <v>575</v>
      </c>
      <c r="F250" s="18" t="str">
        <f>RAW_DATA!F256</f>
        <v>WH-C</v>
      </c>
      <c r="G250" s="18">
        <f>RAW_DATA!G256</f>
        <v>141</v>
      </c>
      <c r="H250" s="18">
        <f>RAW_DATA!H256</f>
        <v>141</v>
      </c>
      <c r="I250" s="24">
        <f>RAW_DATA!I256</f>
        <v>18.64</v>
      </c>
      <c r="J250" s="24">
        <f>RAW_DATA!J256</f>
        <v>12.82</v>
      </c>
      <c r="K250" s="18">
        <f>RAW_DATA!K256</f>
        <v>7</v>
      </c>
      <c r="L250" s="24">
        <f>RAW_DATA!L256</f>
        <v>2560.73</v>
      </c>
      <c r="M250" s="18">
        <f t="shared" si="6"/>
        <v>1</v>
      </c>
      <c r="N250" s="18" t="str">
        <f t="shared" si="7"/>
        <v>On Time</v>
      </c>
    </row>
    <row r="251" spans="1:14" hidden="1" x14ac:dyDescent="0.3">
      <c r="A251" s="13" t="str">
        <f>RAW_DATA!A257</f>
        <v>ORD-0256</v>
      </c>
      <c r="B251" s="14">
        <v>44998</v>
      </c>
      <c r="C251" s="14">
        <v>45000</v>
      </c>
      <c r="D251" s="15" t="s">
        <v>571</v>
      </c>
      <c r="E251" s="15" t="s">
        <v>574</v>
      </c>
      <c r="F251" s="15" t="str">
        <f>RAW_DATA!F257</f>
        <v>WH-E</v>
      </c>
      <c r="G251" s="15">
        <f>RAW_DATA!G257</f>
        <v>50</v>
      </c>
      <c r="H251" s="15">
        <f>RAW_DATA!H257</f>
        <v>50</v>
      </c>
      <c r="I251" s="23">
        <f>RAW_DATA!I257</f>
        <v>8.9499999999999993</v>
      </c>
      <c r="J251" s="23">
        <f>RAW_DATA!J257</f>
        <v>5.99</v>
      </c>
      <c r="K251" s="15">
        <f>RAW_DATA!K257</f>
        <v>4</v>
      </c>
      <c r="L251" s="23">
        <f>RAW_DATA!L257</f>
        <v>299.81</v>
      </c>
      <c r="M251" s="15">
        <f t="shared" si="6"/>
        <v>2</v>
      </c>
      <c r="N251" s="15" t="str">
        <f t="shared" si="7"/>
        <v>On Time</v>
      </c>
    </row>
    <row r="252" spans="1:14" hidden="1" x14ac:dyDescent="0.3">
      <c r="A252" s="16" t="str">
        <f>RAW_DATA!A258</f>
        <v>ORD-0257</v>
      </c>
      <c r="B252" s="17">
        <v>45063</v>
      </c>
      <c r="C252" s="17">
        <v>45071</v>
      </c>
      <c r="D252" s="18" t="s">
        <v>579</v>
      </c>
      <c r="E252" s="18" t="s">
        <v>575</v>
      </c>
      <c r="F252" s="18" t="str">
        <f>RAW_DATA!F258</f>
        <v>WH-E</v>
      </c>
      <c r="G252" s="18">
        <f>RAW_DATA!G258</f>
        <v>367</v>
      </c>
      <c r="H252" s="18">
        <f>RAW_DATA!H258</f>
        <v>367</v>
      </c>
      <c r="I252" s="24">
        <f>RAW_DATA!I258</f>
        <v>13.22</v>
      </c>
      <c r="J252" s="24">
        <f>RAW_DATA!J258</f>
        <v>9.25</v>
      </c>
      <c r="K252" s="18">
        <f>RAW_DATA!K258</f>
        <v>3</v>
      </c>
      <c r="L252" s="24">
        <f>RAW_DATA!L258</f>
        <v>3893.63</v>
      </c>
      <c r="M252" s="18">
        <f t="shared" si="6"/>
        <v>8</v>
      </c>
      <c r="N252" s="18" t="str">
        <f t="shared" si="7"/>
        <v>Late</v>
      </c>
    </row>
    <row r="253" spans="1:14" hidden="1" x14ac:dyDescent="0.3">
      <c r="A253" s="13" t="str">
        <f>RAW_DATA!A259</f>
        <v>ORD-0258</v>
      </c>
      <c r="B253" s="14">
        <v>45286</v>
      </c>
      <c r="C253" s="14">
        <v>45291</v>
      </c>
      <c r="D253" s="15" t="s">
        <v>578</v>
      </c>
      <c r="E253" s="15" t="s">
        <v>575</v>
      </c>
      <c r="F253" s="15" t="str">
        <f>RAW_DATA!F259</f>
        <v>WH-B</v>
      </c>
      <c r="G253" s="15">
        <f>RAW_DATA!G259</f>
        <v>94</v>
      </c>
      <c r="H253" s="15">
        <f>RAW_DATA!H259</f>
        <v>94</v>
      </c>
      <c r="I253" s="23">
        <f>RAW_DATA!I259</f>
        <v>19.46</v>
      </c>
      <c r="J253" s="23">
        <f>RAW_DATA!J259</f>
        <v>13.67</v>
      </c>
      <c r="K253" s="15">
        <f>RAW_DATA!K259</f>
        <v>3</v>
      </c>
      <c r="L253" s="23">
        <f>RAW_DATA!L259</f>
        <v>1677.85</v>
      </c>
      <c r="M253" s="15">
        <f t="shared" si="6"/>
        <v>5</v>
      </c>
      <c r="N253" s="15" t="str">
        <f t="shared" si="7"/>
        <v>Late</v>
      </c>
    </row>
    <row r="254" spans="1:14" x14ac:dyDescent="0.3">
      <c r="A254" s="16" t="str">
        <f>RAW_DATA!A260</f>
        <v>ORD-0259</v>
      </c>
      <c r="B254" s="17">
        <v>45250</v>
      </c>
      <c r="C254" s="17">
        <v>45254</v>
      </c>
      <c r="D254" s="18" t="s">
        <v>570</v>
      </c>
      <c r="E254" s="18" t="s">
        <v>574</v>
      </c>
      <c r="F254" s="18" t="str">
        <f>RAW_DATA!F260</f>
        <v>WH-E</v>
      </c>
      <c r="G254" s="18">
        <f>RAW_DATA!G260</f>
        <v>212</v>
      </c>
      <c r="H254" s="18">
        <f>RAW_DATA!H260</f>
        <v>212</v>
      </c>
      <c r="I254" s="24">
        <f>RAW_DATA!I260</f>
        <v>9.44</v>
      </c>
      <c r="J254" s="24">
        <f>RAW_DATA!J260</f>
        <v>6.85</v>
      </c>
      <c r="K254" s="18">
        <f>RAW_DATA!K260</f>
        <v>7</v>
      </c>
      <c r="L254" s="24">
        <f>RAW_DATA!L260</f>
        <v>1388.1</v>
      </c>
      <c r="M254" s="18">
        <f t="shared" si="6"/>
        <v>4</v>
      </c>
      <c r="N254" s="18" t="str">
        <f t="shared" si="7"/>
        <v>On Time</v>
      </c>
    </row>
    <row r="255" spans="1:14" hidden="1" x14ac:dyDescent="0.3">
      <c r="A255" s="13" t="str">
        <f>RAW_DATA!A261</f>
        <v>ORD-0260</v>
      </c>
      <c r="B255" s="14">
        <v>45176</v>
      </c>
      <c r="C255" s="14">
        <v>45177</v>
      </c>
      <c r="D255" s="15" t="s">
        <v>579</v>
      </c>
      <c r="E255" s="15" t="s">
        <v>575</v>
      </c>
      <c r="F255" s="15" t="str">
        <f>RAW_DATA!F261</f>
        <v>WH-D</v>
      </c>
      <c r="G255" s="15">
        <f>RAW_DATA!G261</f>
        <v>395</v>
      </c>
      <c r="H255" s="15">
        <f>RAW_DATA!H261</f>
        <v>395</v>
      </c>
      <c r="I255" s="23">
        <f>RAW_DATA!I261</f>
        <v>20.75</v>
      </c>
      <c r="J255" s="23">
        <f>RAW_DATA!J261</f>
        <v>14.05</v>
      </c>
      <c r="K255" s="15">
        <f>RAW_DATA!K261</f>
        <v>3</v>
      </c>
      <c r="L255" s="23">
        <f>RAW_DATA!L261</f>
        <v>7316.64</v>
      </c>
      <c r="M255" s="15">
        <f t="shared" si="6"/>
        <v>1</v>
      </c>
      <c r="N255" s="15" t="str">
        <f t="shared" si="7"/>
        <v>On Time</v>
      </c>
    </row>
    <row r="256" spans="1:14" hidden="1" x14ac:dyDescent="0.3">
      <c r="A256" s="16" t="str">
        <f>RAW_DATA!A262</f>
        <v>ORD-0261</v>
      </c>
      <c r="B256" s="17">
        <v>45038</v>
      </c>
      <c r="C256" s="17">
        <v>45044</v>
      </c>
      <c r="D256" s="18" t="s">
        <v>569</v>
      </c>
      <c r="E256" s="18" t="s">
        <v>577</v>
      </c>
      <c r="F256" s="18" t="str">
        <f>RAW_DATA!F262</f>
        <v>WH-D</v>
      </c>
      <c r="G256" s="18">
        <f>RAW_DATA!G262</f>
        <v>273</v>
      </c>
      <c r="H256" s="18">
        <f>RAW_DATA!H262</f>
        <v>273</v>
      </c>
      <c r="I256" s="24">
        <f>RAW_DATA!I262</f>
        <v>7.78</v>
      </c>
      <c r="J256" s="24">
        <f>RAW_DATA!J262</f>
        <v>4.8</v>
      </c>
      <c r="K256" s="18">
        <f>RAW_DATA!K262</f>
        <v>4</v>
      </c>
      <c r="L256" s="24">
        <f>RAW_DATA!L262</f>
        <v>1633.75</v>
      </c>
      <c r="M256" s="18">
        <f t="shared" si="6"/>
        <v>6</v>
      </c>
      <c r="N256" s="18" t="str">
        <f t="shared" si="7"/>
        <v>Late</v>
      </c>
    </row>
    <row r="257" spans="1:14" x14ac:dyDescent="0.3">
      <c r="A257" s="13" t="str">
        <f>RAW_DATA!A263</f>
        <v>ORD-0262</v>
      </c>
      <c r="B257" s="14">
        <v>44950</v>
      </c>
      <c r="C257" s="14">
        <v>44957</v>
      </c>
      <c r="D257" s="15" t="s">
        <v>570</v>
      </c>
      <c r="E257" s="15" t="s">
        <v>575</v>
      </c>
      <c r="F257" s="15" t="str">
        <f>RAW_DATA!F263</f>
        <v>WH-A</v>
      </c>
      <c r="G257" s="15">
        <f>RAW_DATA!G263</f>
        <v>255</v>
      </c>
      <c r="H257" s="15">
        <f>RAW_DATA!H263</f>
        <v>198</v>
      </c>
      <c r="I257" s="23">
        <f>RAW_DATA!I263</f>
        <v>15.97</v>
      </c>
      <c r="J257" s="23">
        <f>RAW_DATA!J263</f>
        <v>8.7899999999999991</v>
      </c>
      <c r="K257" s="15">
        <f>RAW_DATA!K263</f>
        <v>7</v>
      </c>
      <c r="L257" s="26">
        <f>RAW_DATA!L263</f>
        <v>0</v>
      </c>
      <c r="M257" s="15">
        <f t="shared" si="6"/>
        <v>7</v>
      </c>
      <c r="N257" s="15" t="str">
        <f t="shared" si="7"/>
        <v>On Time</v>
      </c>
    </row>
    <row r="258" spans="1:14" hidden="1" x14ac:dyDescent="0.3">
      <c r="A258" s="16" t="str">
        <f>RAW_DATA!A264</f>
        <v>ORD-0263</v>
      </c>
      <c r="B258" s="17">
        <v>45008</v>
      </c>
      <c r="C258" s="17">
        <v>45016</v>
      </c>
      <c r="D258" s="18" t="s">
        <v>572</v>
      </c>
      <c r="E258" s="18" t="s">
        <v>574</v>
      </c>
      <c r="F258" s="18" t="str">
        <f>RAW_DATA!F264</f>
        <v>WH-C</v>
      </c>
      <c r="G258" s="18">
        <f>RAW_DATA!G264</f>
        <v>67</v>
      </c>
      <c r="H258" s="18">
        <f>RAW_DATA!H264</f>
        <v>67</v>
      </c>
      <c r="I258" s="24">
        <f>RAW_DATA!I264</f>
        <v>7.6</v>
      </c>
      <c r="J258" s="24">
        <f>RAW_DATA!J264</f>
        <v>4.75</v>
      </c>
      <c r="K258" s="18">
        <f>RAW_DATA!K264</f>
        <v>5</v>
      </c>
      <c r="L258" s="24">
        <f>RAW_DATA!L264</f>
        <v>459.01</v>
      </c>
      <c r="M258" s="18">
        <f t="shared" si="6"/>
        <v>8</v>
      </c>
      <c r="N258" s="18" t="str">
        <f t="shared" si="7"/>
        <v>Late</v>
      </c>
    </row>
    <row r="259" spans="1:14" hidden="1" x14ac:dyDescent="0.3">
      <c r="A259" s="13" t="str">
        <f>RAW_DATA!A265</f>
        <v>ORD-0264</v>
      </c>
      <c r="B259" s="14">
        <v>45247</v>
      </c>
      <c r="C259" s="14">
        <v>45248</v>
      </c>
      <c r="D259" s="15" t="s">
        <v>198</v>
      </c>
      <c r="E259" s="15" t="s">
        <v>573</v>
      </c>
      <c r="F259" s="15" t="str">
        <f>RAW_DATA!F265</f>
        <v>WH-D</v>
      </c>
      <c r="G259" s="15">
        <f>RAW_DATA!G265</f>
        <v>239</v>
      </c>
      <c r="H259" s="15">
        <f>RAW_DATA!H265</f>
        <v>239</v>
      </c>
      <c r="I259" s="23">
        <f>RAW_DATA!I265</f>
        <v>14.67</v>
      </c>
      <c r="J259" s="23">
        <f>RAW_DATA!J265</f>
        <v>8.07</v>
      </c>
      <c r="K259" s="15">
        <f>RAW_DATA!K265</f>
        <v>2</v>
      </c>
      <c r="L259" s="23">
        <f>RAW_DATA!L265</f>
        <v>2287.64</v>
      </c>
      <c r="M259" s="15">
        <f t="shared" ref="M259:M322" si="8">C259-B259</f>
        <v>1</v>
      </c>
      <c r="N259" s="15" t="str">
        <f t="shared" ref="N259:N322" si="9">IF(M259&lt;=K259,"On Time", "Late")</f>
        <v>On Time</v>
      </c>
    </row>
    <row r="260" spans="1:14" hidden="1" x14ac:dyDescent="0.3">
      <c r="A260" s="16" t="str">
        <f>RAW_DATA!A266</f>
        <v>ORD-0265</v>
      </c>
      <c r="B260" s="17">
        <v>45192</v>
      </c>
      <c r="C260" s="17">
        <v>45193</v>
      </c>
      <c r="D260" s="18" t="s">
        <v>198</v>
      </c>
      <c r="E260" s="18" t="s">
        <v>577</v>
      </c>
      <c r="F260" s="18" t="str">
        <f>RAW_DATA!F266</f>
        <v>WH-B</v>
      </c>
      <c r="G260" s="18">
        <f>RAW_DATA!G266</f>
        <v>24</v>
      </c>
      <c r="H260" s="18">
        <f>RAW_DATA!H266</f>
        <v>24</v>
      </c>
      <c r="I260" s="24">
        <f>RAW_DATA!I266</f>
        <v>7.74</v>
      </c>
      <c r="J260" s="24">
        <f>RAW_DATA!J266</f>
        <v>5.79</v>
      </c>
      <c r="K260" s="18">
        <f>RAW_DATA!K266</f>
        <v>2</v>
      </c>
      <c r="L260" s="24">
        <f>RAW_DATA!L266</f>
        <v>160.27000000000001</v>
      </c>
      <c r="M260" s="18">
        <f t="shared" si="8"/>
        <v>1</v>
      </c>
      <c r="N260" s="18" t="str">
        <f t="shared" si="9"/>
        <v>On Time</v>
      </c>
    </row>
    <row r="261" spans="1:14" hidden="1" x14ac:dyDescent="0.3">
      <c r="A261" s="13" t="str">
        <f>RAW_DATA!A267</f>
        <v>ORD-0266</v>
      </c>
      <c r="B261" s="14">
        <v>45044</v>
      </c>
      <c r="C261" s="14">
        <v>45045</v>
      </c>
      <c r="D261" s="15" t="s">
        <v>198</v>
      </c>
      <c r="E261" s="15" t="s">
        <v>576</v>
      </c>
      <c r="F261" s="15" t="str">
        <f>RAW_DATA!F267</f>
        <v>WH-A</v>
      </c>
      <c r="G261" s="15">
        <f>RAW_DATA!G267</f>
        <v>72</v>
      </c>
      <c r="H261" s="15">
        <f>RAW_DATA!H267</f>
        <v>72</v>
      </c>
      <c r="I261" s="23">
        <f>RAW_DATA!I267</f>
        <v>26.57</v>
      </c>
      <c r="J261" s="23">
        <f>RAW_DATA!J267</f>
        <v>15.34</v>
      </c>
      <c r="K261" s="15">
        <f>RAW_DATA!K267</f>
        <v>2</v>
      </c>
      <c r="L261" s="23">
        <f>RAW_DATA!L267</f>
        <v>1506.59</v>
      </c>
      <c r="M261" s="15">
        <f t="shared" si="8"/>
        <v>1</v>
      </c>
      <c r="N261" s="15" t="str">
        <f t="shared" si="9"/>
        <v>On Time</v>
      </c>
    </row>
    <row r="262" spans="1:14" hidden="1" x14ac:dyDescent="0.3">
      <c r="A262" s="16" t="str">
        <f>RAW_DATA!A268</f>
        <v>ORD-0267</v>
      </c>
      <c r="B262" s="17">
        <v>45198</v>
      </c>
      <c r="C262" s="17">
        <v>45199</v>
      </c>
      <c r="D262" s="18" t="s">
        <v>198</v>
      </c>
      <c r="E262" s="18" t="s">
        <v>574</v>
      </c>
      <c r="F262" s="18" t="str">
        <f>RAW_DATA!F268</f>
        <v>WH-A</v>
      </c>
      <c r="G262" s="18">
        <f>RAW_DATA!G268</f>
        <v>245</v>
      </c>
      <c r="H262" s="18">
        <f>RAW_DATA!H268</f>
        <v>245</v>
      </c>
      <c r="I262" s="24">
        <f>RAW_DATA!I268</f>
        <v>7.42</v>
      </c>
      <c r="J262" s="24">
        <f>RAW_DATA!J268</f>
        <v>5.19</v>
      </c>
      <c r="K262" s="18">
        <f>RAW_DATA!K268</f>
        <v>2</v>
      </c>
      <c r="L262" s="24">
        <f>RAW_DATA!L268</f>
        <v>1846.21</v>
      </c>
      <c r="M262" s="18">
        <f t="shared" si="8"/>
        <v>1</v>
      </c>
      <c r="N262" s="18" t="str">
        <f t="shared" si="9"/>
        <v>On Time</v>
      </c>
    </row>
    <row r="263" spans="1:14" x14ac:dyDescent="0.3">
      <c r="A263" s="13" t="str">
        <f>RAW_DATA!A269</f>
        <v>ORD-0268</v>
      </c>
      <c r="B263" s="14">
        <v>44978</v>
      </c>
      <c r="C263" s="14">
        <v>44979</v>
      </c>
      <c r="D263" s="15" t="s">
        <v>570</v>
      </c>
      <c r="E263" s="15" t="s">
        <v>574</v>
      </c>
      <c r="F263" s="15" t="str">
        <f>RAW_DATA!F269</f>
        <v>WH-A</v>
      </c>
      <c r="G263" s="15">
        <f>RAW_DATA!G269</f>
        <v>321</v>
      </c>
      <c r="H263" s="15">
        <f>RAW_DATA!H269</f>
        <v>321</v>
      </c>
      <c r="I263" s="23">
        <f>RAW_DATA!I269</f>
        <v>8.09</v>
      </c>
      <c r="J263" s="23">
        <f>RAW_DATA!J269</f>
        <v>5.14</v>
      </c>
      <c r="K263" s="15">
        <f>RAW_DATA!K269</f>
        <v>7</v>
      </c>
      <c r="L263" s="23">
        <f>RAW_DATA!L269</f>
        <v>2268.08</v>
      </c>
      <c r="M263" s="15">
        <f t="shared" si="8"/>
        <v>1</v>
      </c>
      <c r="N263" s="15" t="str">
        <f t="shared" si="9"/>
        <v>On Time</v>
      </c>
    </row>
    <row r="264" spans="1:14" hidden="1" x14ac:dyDescent="0.3">
      <c r="A264" s="16" t="str">
        <f>RAW_DATA!A270</f>
        <v>ORD-0269</v>
      </c>
      <c r="B264" s="17">
        <v>45054</v>
      </c>
      <c r="C264" s="17">
        <v>45059</v>
      </c>
      <c r="D264" s="18" t="s">
        <v>572</v>
      </c>
      <c r="E264" s="18" t="s">
        <v>575</v>
      </c>
      <c r="F264" s="18" t="str">
        <f>RAW_DATA!F270</f>
        <v>WH-A</v>
      </c>
      <c r="G264" s="18">
        <f>RAW_DATA!G270</f>
        <v>389</v>
      </c>
      <c r="H264" s="18">
        <f>RAW_DATA!H270</f>
        <v>389</v>
      </c>
      <c r="I264" s="24">
        <f>RAW_DATA!I270</f>
        <v>19.010000000000002</v>
      </c>
      <c r="J264" s="24">
        <f>RAW_DATA!J270</f>
        <v>13.08</v>
      </c>
      <c r="K264" s="18">
        <f>RAW_DATA!K270</f>
        <v>5</v>
      </c>
      <c r="L264" s="25">
        <f>RAW_DATA!L270</f>
        <v>0</v>
      </c>
      <c r="M264" s="18">
        <f t="shared" si="8"/>
        <v>5</v>
      </c>
      <c r="N264" s="18" t="str">
        <f t="shared" si="9"/>
        <v>On Time</v>
      </c>
    </row>
    <row r="265" spans="1:14" hidden="1" x14ac:dyDescent="0.3">
      <c r="A265" s="13" t="str">
        <f>RAW_DATA!A271</f>
        <v>ORD-0270</v>
      </c>
      <c r="B265" s="14">
        <v>45237</v>
      </c>
      <c r="C265" s="14">
        <v>45240</v>
      </c>
      <c r="D265" s="15" t="s">
        <v>579</v>
      </c>
      <c r="E265" s="15" t="s">
        <v>574</v>
      </c>
      <c r="F265" s="15" t="str">
        <f>RAW_DATA!F271</f>
        <v>WH-E</v>
      </c>
      <c r="G265" s="15">
        <f>RAW_DATA!G271</f>
        <v>220</v>
      </c>
      <c r="H265" s="15">
        <f>RAW_DATA!H271</f>
        <v>220</v>
      </c>
      <c r="I265" s="23">
        <f>RAW_DATA!I271</f>
        <v>6.66</v>
      </c>
      <c r="J265" s="23">
        <f>RAW_DATA!J271</f>
        <v>4.8600000000000003</v>
      </c>
      <c r="K265" s="15">
        <f>RAW_DATA!K271</f>
        <v>3</v>
      </c>
      <c r="L265" s="23">
        <f>RAW_DATA!L271</f>
        <v>1574.72</v>
      </c>
      <c r="M265" s="15">
        <f t="shared" si="8"/>
        <v>3</v>
      </c>
      <c r="N265" s="15" t="str">
        <f t="shared" si="9"/>
        <v>On Time</v>
      </c>
    </row>
    <row r="266" spans="1:14" x14ac:dyDescent="0.3">
      <c r="A266" s="16" t="str">
        <f>RAW_DATA!A272</f>
        <v>ORD-0271</v>
      </c>
      <c r="B266" s="17">
        <v>45050</v>
      </c>
      <c r="C266" s="17">
        <v>45055</v>
      </c>
      <c r="D266" s="18" t="s">
        <v>570</v>
      </c>
      <c r="E266" s="18" t="s">
        <v>576</v>
      </c>
      <c r="F266" s="18" t="str">
        <f>RAW_DATA!F272</f>
        <v>WH-A</v>
      </c>
      <c r="G266" s="18">
        <f>RAW_DATA!G272</f>
        <v>56</v>
      </c>
      <c r="H266" s="18">
        <f>RAW_DATA!H272</f>
        <v>56</v>
      </c>
      <c r="I266" s="24">
        <f>RAW_DATA!I272</f>
        <v>27.73</v>
      </c>
      <c r="J266" s="24">
        <f>RAW_DATA!J272</f>
        <v>20.72</v>
      </c>
      <c r="K266" s="18">
        <f>RAW_DATA!K272</f>
        <v>7</v>
      </c>
      <c r="L266" s="24">
        <f>RAW_DATA!L272</f>
        <v>1694.48</v>
      </c>
      <c r="M266" s="18">
        <f t="shared" si="8"/>
        <v>5</v>
      </c>
      <c r="N266" s="18" t="str">
        <f t="shared" si="9"/>
        <v>On Time</v>
      </c>
    </row>
    <row r="267" spans="1:14" hidden="1" x14ac:dyDescent="0.3">
      <c r="A267" s="13" t="str">
        <f>RAW_DATA!A273</f>
        <v>ORD-0272</v>
      </c>
      <c r="B267" s="14">
        <v>45142</v>
      </c>
      <c r="C267" s="14">
        <v>45143</v>
      </c>
      <c r="D267" s="15" t="s">
        <v>198</v>
      </c>
      <c r="E267" s="15" t="s">
        <v>576</v>
      </c>
      <c r="F267" s="15" t="str">
        <f>RAW_DATA!F273</f>
        <v>WH-E</v>
      </c>
      <c r="G267" s="15">
        <f>RAW_DATA!G273</f>
        <v>261</v>
      </c>
      <c r="H267" s="15">
        <f>RAW_DATA!H273</f>
        <v>261</v>
      </c>
      <c r="I267" s="23">
        <f>RAW_DATA!I273</f>
        <v>25.24</v>
      </c>
      <c r="J267" s="23">
        <f>RAW_DATA!J273</f>
        <v>13.97</v>
      </c>
      <c r="K267" s="15">
        <f>RAW_DATA!K273</f>
        <v>2</v>
      </c>
      <c r="L267" s="23">
        <f>RAW_DATA!L273</f>
        <v>3429.29</v>
      </c>
      <c r="M267" s="15">
        <f t="shared" si="8"/>
        <v>1</v>
      </c>
      <c r="N267" s="15" t="str">
        <f t="shared" si="9"/>
        <v>On Time</v>
      </c>
    </row>
    <row r="268" spans="1:14" hidden="1" x14ac:dyDescent="0.3">
      <c r="A268" s="16" t="str">
        <f>RAW_DATA!A274</f>
        <v>ORD-0273</v>
      </c>
      <c r="B268" s="17">
        <v>44957</v>
      </c>
      <c r="C268" s="17">
        <v>44959</v>
      </c>
      <c r="D268" s="18" t="s">
        <v>579</v>
      </c>
      <c r="E268" s="18" t="s">
        <v>574</v>
      </c>
      <c r="F268" s="18" t="str">
        <f>RAW_DATA!F274</f>
        <v>WH-A</v>
      </c>
      <c r="G268" s="18">
        <f>RAW_DATA!G274</f>
        <v>279</v>
      </c>
      <c r="H268" s="18">
        <f>RAW_DATA!H274</f>
        <v>279</v>
      </c>
      <c r="I268" s="24">
        <f>RAW_DATA!I274</f>
        <v>9.82</v>
      </c>
      <c r="J268" s="24">
        <f>RAW_DATA!J274</f>
        <v>6.91</v>
      </c>
      <c r="K268" s="18">
        <f>RAW_DATA!K274</f>
        <v>3</v>
      </c>
      <c r="L268" s="24">
        <f>RAW_DATA!L274</f>
        <v>2225.06</v>
      </c>
      <c r="M268" s="18">
        <f t="shared" si="8"/>
        <v>2</v>
      </c>
      <c r="N268" s="18" t="str">
        <f t="shared" si="9"/>
        <v>On Time</v>
      </c>
    </row>
    <row r="269" spans="1:14" hidden="1" x14ac:dyDescent="0.3">
      <c r="A269" s="13" t="str">
        <f>RAW_DATA!A275</f>
        <v>ORD-0274</v>
      </c>
      <c r="B269" s="14">
        <v>45202</v>
      </c>
      <c r="C269" s="14">
        <v>45205</v>
      </c>
      <c r="D269" s="15" t="s">
        <v>571</v>
      </c>
      <c r="E269" s="15" t="s">
        <v>573</v>
      </c>
      <c r="F269" s="15" t="str">
        <f>RAW_DATA!F275</f>
        <v>WH-E</v>
      </c>
      <c r="G269" s="15">
        <f>RAW_DATA!G275</f>
        <v>62</v>
      </c>
      <c r="H269" s="15">
        <f>RAW_DATA!H275</f>
        <v>62</v>
      </c>
      <c r="I269" s="23">
        <f>RAW_DATA!I275</f>
        <v>13.28</v>
      </c>
      <c r="J269" s="23">
        <f>RAW_DATA!J275</f>
        <v>7.84</v>
      </c>
      <c r="K269" s="15">
        <f>RAW_DATA!K275</f>
        <v>4</v>
      </c>
      <c r="L269" s="23">
        <f>RAW_DATA!L275</f>
        <v>673.14</v>
      </c>
      <c r="M269" s="15">
        <f t="shared" si="8"/>
        <v>3</v>
      </c>
      <c r="N269" s="15" t="str">
        <f t="shared" si="9"/>
        <v>On Time</v>
      </c>
    </row>
    <row r="270" spans="1:14" hidden="1" x14ac:dyDescent="0.3">
      <c r="A270" s="16" t="str">
        <f>RAW_DATA!A276</f>
        <v>ORD-0275</v>
      </c>
      <c r="B270" s="17">
        <v>45251</v>
      </c>
      <c r="C270" s="17">
        <v>45257</v>
      </c>
      <c r="D270" s="18" t="s">
        <v>211</v>
      </c>
      <c r="E270" s="18" t="s">
        <v>576</v>
      </c>
      <c r="F270" s="18" t="str">
        <f>RAW_DATA!F276</f>
        <v>WH-E</v>
      </c>
      <c r="G270" s="18">
        <f>RAW_DATA!G276</f>
        <v>368</v>
      </c>
      <c r="H270" s="18">
        <f>RAW_DATA!H276</f>
        <v>368</v>
      </c>
      <c r="I270" s="24">
        <f>RAW_DATA!I276</f>
        <v>19.72</v>
      </c>
      <c r="J270" s="24">
        <f>RAW_DATA!J276</f>
        <v>12.57</v>
      </c>
      <c r="K270" s="18">
        <f>RAW_DATA!K276</f>
        <v>6</v>
      </c>
      <c r="L270" s="24">
        <f>RAW_DATA!L276</f>
        <v>6809.38</v>
      </c>
      <c r="M270" s="18">
        <f t="shared" si="8"/>
        <v>6</v>
      </c>
      <c r="N270" s="18" t="str">
        <f t="shared" si="9"/>
        <v>On Time</v>
      </c>
    </row>
    <row r="271" spans="1:14" hidden="1" x14ac:dyDescent="0.3">
      <c r="A271" s="13" t="str">
        <f>RAW_DATA!A278</f>
        <v>ORD-0277</v>
      </c>
      <c r="B271" s="14">
        <v>45289</v>
      </c>
      <c r="C271" s="14">
        <v>45290</v>
      </c>
      <c r="D271" s="15" t="s">
        <v>198</v>
      </c>
      <c r="E271" s="15" t="s">
        <v>573</v>
      </c>
      <c r="F271" s="15" t="str">
        <f>RAW_DATA!F278</f>
        <v>WH-A</v>
      </c>
      <c r="G271" s="15">
        <f>RAW_DATA!G278</f>
        <v>103</v>
      </c>
      <c r="H271" s="15">
        <f>RAW_DATA!H278</f>
        <v>103</v>
      </c>
      <c r="I271" s="23">
        <f>RAW_DATA!I278</f>
        <v>12.1</v>
      </c>
      <c r="J271" s="23">
        <f>RAW_DATA!J278</f>
        <v>7.91</v>
      </c>
      <c r="K271" s="15">
        <f>RAW_DATA!K278</f>
        <v>2</v>
      </c>
      <c r="L271" s="23">
        <f>RAW_DATA!L278</f>
        <v>1135.33</v>
      </c>
      <c r="M271" s="15">
        <f t="shared" si="8"/>
        <v>1</v>
      </c>
      <c r="N271" s="15" t="str">
        <f t="shared" si="9"/>
        <v>On Time</v>
      </c>
    </row>
    <row r="272" spans="1:14" hidden="1" x14ac:dyDescent="0.3">
      <c r="A272" s="16" t="str">
        <f>RAW_DATA!A279</f>
        <v>ORD-0278</v>
      </c>
      <c r="B272" s="17">
        <v>44991</v>
      </c>
      <c r="C272" s="17">
        <v>44993</v>
      </c>
      <c r="D272" s="18" t="s">
        <v>579</v>
      </c>
      <c r="E272" s="18" t="s">
        <v>574</v>
      </c>
      <c r="F272" s="18" t="str">
        <f>RAW_DATA!F279</f>
        <v>WH-C</v>
      </c>
      <c r="G272" s="18">
        <f>RAW_DATA!G279</f>
        <v>395</v>
      </c>
      <c r="H272" s="18">
        <f>RAW_DATA!H279</f>
        <v>395</v>
      </c>
      <c r="I272" s="24">
        <f>RAW_DATA!I279</f>
        <v>10.1</v>
      </c>
      <c r="J272" s="24">
        <f>RAW_DATA!J279</f>
        <v>5.61</v>
      </c>
      <c r="K272" s="18">
        <f>RAW_DATA!K279</f>
        <v>3</v>
      </c>
      <c r="L272" s="24">
        <f>RAW_DATA!L279</f>
        <v>3067.46</v>
      </c>
      <c r="M272" s="18">
        <f t="shared" si="8"/>
        <v>2</v>
      </c>
      <c r="N272" s="18" t="str">
        <f t="shared" si="9"/>
        <v>On Time</v>
      </c>
    </row>
    <row r="273" spans="1:14" hidden="1" x14ac:dyDescent="0.3">
      <c r="A273" s="13" t="str">
        <f>RAW_DATA!A280</f>
        <v>ORD-0279</v>
      </c>
      <c r="B273" s="14">
        <v>45061</v>
      </c>
      <c r="C273" s="14">
        <v>45064</v>
      </c>
      <c r="D273" s="15" t="s">
        <v>579</v>
      </c>
      <c r="E273" s="15" t="s">
        <v>577</v>
      </c>
      <c r="F273" s="15" t="str">
        <f>RAW_DATA!F280</f>
        <v>WH-A</v>
      </c>
      <c r="G273" s="15">
        <f>RAW_DATA!G280</f>
        <v>341</v>
      </c>
      <c r="H273" s="15">
        <f>RAW_DATA!H280</f>
        <v>341</v>
      </c>
      <c r="I273" s="23">
        <f>RAW_DATA!I280</f>
        <v>6.44</v>
      </c>
      <c r="J273" s="23">
        <f>RAW_DATA!J280</f>
        <v>4.01</v>
      </c>
      <c r="K273" s="15">
        <f>RAW_DATA!K280</f>
        <v>3</v>
      </c>
      <c r="L273" s="23">
        <f>RAW_DATA!L280</f>
        <v>1640.57</v>
      </c>
      <c r="M273" s="15">
        <f t="shared" si="8"/>
        <v>3</v>
      </c>
      <c r="N273" s="15" t="str">
        <f t="shared" si="9"/>
        <v>On Time</v>
      </c>
    </row>
    <row r="274" spans="1:14" hidden="1" x14ac:dyDescent="0.3">
      <c r="A274" s="16" t="str">
        <f>RAW_DATA!A281</f>
        <v>ORD-0280</v>
      </c>
      <c r="B274" s="17">
        <v>45057</v>
      </c>
      <c r="C274" s="17">
        <v>45053</v>
      </c>
      <c r="D274" s="18" t="s">
        <v>198</v>
      </c>
      <c r="E274" s="18" t="s">
        <v>575</v>
      </c>
      <c r="F274" s="18" t="str">
        <f>RAW_DATA!F281</f>
        <v>WH-B</v>
      </c>
      <c r="G274" s="18">
        <f>RAW_DATA!G281</f>
        <v>136</v>
      </c>
      <c r="H274" s="18">
        <f>RAW_DATA!H281</f>
        <v>136</v>
      </c>
      <c r="I274" s="24">
        <f>RAW_DATA!I281</f>
        <v>12.02</v>
      </c>
      <c r="J274" s="24">
        <f>RAW_DATA!J281</f>
        <v>8.68</v>
      </c>
      <c r="K274" s="18">
        <f>RAW_DATA!K281</f>
        <v>2</v>
      </c>
      <c r="L274" s="24">
        <f>RAW_DATA!L281</f>
        <v>1071.1400000000001</v>
      </c>
      <c r="M274" s="18" t="s">
        <v>581</v>
      </c>
      <c r="N274" s="18" t="s">
        <v>583</v>
      </c>
    </row>
    <row r="275" spans="1:14" hidden="1" x14ac:dyDescent="0.3">
      <c r="A275" s="13" t="str">
        <f>RAW_DATA!A282</f>
        <v>ORD-0281</v>
      </c>
      <c r="B275" s="14">
        <v>45123</v>
      </c>
      <c r="C275" s="14">
        <v>45128</v>
      </c>
      <c r="D275" s="15" t="s">
        <v>578</v>
      </c>
      <c r="E275" s="15" t="s">
        <v>576</v>
      </c>
      <c r="F275" s="15" t="str">
        <f>RAW_DATA!F282</f>
        <v>WH-C</v>
      </c>
      <c r="G275" s="15">
        <f>RAW_DATA!G282</f>
        <v>38</v>
      </c>
      <c r="H275" s="15">
        <f>RAW_DATA!H282</f>
        <v>38</v>
      </c>
      <c r="I275" s="23">
        <f>RAW_DATA!I282</f>
        <v>26.97</v>
      </c>
      <c r="J275" s="23">
        <f>RAW_DATA!J282</f>
        <v>18.829999999999998</v>
      </c>
      <c r="K275" s="15">
        <f>RAW_DATA!K282</f>
        <v>3</v>
      </c>
      <c r="L275" s="23">
        <f>RAW_DATA!L282</f>
        <v>824.03</v>
      </c>
      <c r="M275" s="15">
        <f t="shared" si="8"/>
        <v>5</v>
      </c>
      <c r="N275" s="15" t="str">
        <f t="shared" si="9"/>
        <v>Late</v>
      </c>
    </row>
    <row r="276" spans="1:14" hidden="1" x14ac:dyDescent="0.3">
      <c r="A276" s="16" t="str">
        <f>RAW_DATA!A283</f>
        <v>ORD-0282</v>
      </c>
      <c r="B276" s="17">
        <v>45090</v>
      </c>
      <c r="C276" s="17">
        <v>45091</v>
      </c>
      <c r="D276" s="18" t="s">
        <v>211</v>
      </c>
      <c r="E276" s="18" t="s">
        <v>574</v>
      </c>
      <c r="F276" s="18" t="str">
        <f>RAW_DATA!F283</f>
        <v>WH-D</v>
      </c>
      <c r="G276" s="18">
        <f>RAW_DATA!G283</f>
        <v>312</v>
      </c>
      <c r="H276" s="18">
        <f>RAW_DATA!H283</f>
        <v>312</v>
      </c>
      <c r="I276" s="24">
        <f>RAW_DATA!I283</f>
        <v>8.81</v>
      </c>
      <c r="J276" s="24">
        <f>RAW_DATA!J283</f>
        <v>6.43</v>
      </c>
      <c r="K276" s="18">
        <f>RAW_DATA!K283</f>
        <v>6</v>
      </c>
      <c r="L276" s="25">
        <f>RAW_DATA!L283</f>
        <v>0</v>
      </c>
      <c r="M276" s="18">
        <f t="shared" si="8"/>
        <v>1</v>
      </c>
      <c r="N276" s="18" t="str">
        <f t="shared" si="9"/>
        <v>On Time</v>
      </c>
    </row>
    <row r="277" spans="1:14" hidden="1" x14ac:dyDescent="0.3">
      <c r="A277" s="13" t="str">
        <f>RAW_DATA!A284</f>
        <v>ORD-0283</v>
      </c>
      <c r="B277" s="14">
        <v>45165</v>
      </c>
      <c r="C277" s="14">
        <v>45171</v>
      </c>
      <c r="D277" s="15" t="s">
        <v>578</v>
      </c>
      <c r="E277" s="15" t="s">
        <v>576</v>
      </c>
      <c r="F277" s="15" t="str">
        <f>RAW_DATA!F284</f>
        <v>WH-A</v>
      </c>
      <c r="G277" s="15">
        <f>RAW_DATA!G284</f>
        <v>187</v>
      </c>
      <c r="H277" s="15">
        <f>RAW_DATA!H284</f>
        <v>187</v>
      </c>
      <c r="I277" s="23">
        <f>RAW_DATA!I284</f>
        <v>21.48</v>
      </c>
      <c r="J277" s="23">
        <f>RAW_DATA!J284</f>
        <v>13.4</v>
      </c>
      <c r="K277" s="15">
        <f>RAW_DATA!K284</f>
        <v>3</v>
      </c>
      <c r="L277" s="23">
        <f>RAW_DATA!L284</f>
        <v>2693.63</v>
      </c>
      <c r="M277" s="15">
        <f t="shared" si="8"/>
        <v>6</v>
      </c>
      <c r="N277" s="15" t="str">
        <f t="shared" si="9"/>
        <v>Late</v>
      </c>
    </row>
    <row r="278" spans="1:14" hidden="1" x14ac:dyDescent="0.3">
      <c r="A278" s="16" t="str">
        <f>RAW_DATA!A285</f>
        <v>ORD-0284</v>
      </c>
      <c r="B278" s="17">
        <v>45164</v>
      </c>
      <c r="C278" s="17">
        <v>45166</v>
      </c>
      <c r="D278" s="18" t="s">
        <v>579</v>
      </c>
      <c r="E278" s="18" t="s">
        <v>577</v>
      </c>
      <c r="F278" s="18" t="str">
        <f>RAW_DATA!F285</f>
        <v>WH-B</v>
      </c>
      <c r="G278" s="18">
        <f>RAW_DATA!G285</f>
        <v>120</v>
      </c>
      <c r="H278" s="18">
        <f>RAW_DATA!H285</f>
        <v>120</v>
      </c>
      <c r="I278" s="24">
        <f>RAW_DATA!I285</f>
        <v>6.77</v>
      </c>
      <c r="J278" s="24">
        <f>RAW_DATA!J285</f>
        <v>4.8</v>
      </c>
      <c r="K278" s="18">
        <f>RAW_DATA!K285</f>
        <v>3</v>
      </c>
      <c r="L278" s="24">
        <f>RAW_DATA!L285</f>
        <v>570.44000000000005</v>
      </c>
      <c r="M278" s="18">
        <f t="shared" si="8"/>
        <v>2</v>
      </c>
      <c r="N278" s="18" t="str">
        <f t="shared" si="9"/>
        <v>On Time</v>
      </c>
    </row>
    <row r="279" spans="1:14" hidden="1" x14ac:dyDescent="0.3">
      <c r="A279" s="13" t="str">
        <f>RAW_DATA!A286</f>
        <v>ORD-0285</v>
      </c>
      <c r="B279" s="14">
        <v>45204</v>
      </c>
      <c r="C279" s="14">
        <v>45205</v>
      </c>
      <c r="D279" s="15" t="s">
        <v>571</v>
      </c>
      <c r="E279" s="15" t="s">
        <v>573</v>
      </c>
      <c r="F279" s="15" t="str">
        <f>RAW_DATA!F286</f>
        <v>WH-B</v>
      </c>
      <c r="G279" s="15">
        <f>RAW_DATA!G286</f>
        <v>191</v>
      </c>
      <c r="H279" s="15">
        <f>RAW_DATA!H286</f>
        <v>175</v>
      </c>
      <c r="I279" s="23">
        <f>RAW_DATA!I286</f>
        <v>12.31</v>
      </c>
      <c r="J279" s="23">
        <f>RAW_DATA!J286</f>
        <v>8.59</v>
      </c>
      <c r="K279" s="15">
        <f>RAW_DATA!K286</f>
        <v>4</v>
      </c>
      <c r="L279" s="23">
        <f>RAW_DATA!L286</f>
        <v>1779.34</v>
      </c>
      <c r="M279" s="15">
        <f t="shared" si="8"/>
        <v>1</v>
      </c>
      <c r="N279" s="15" t="str">
        <f t="shared" si="9"/>
        <v>On Time</v>
      </c>
    </row>
    <row r="280" spans="1:14" hidden="1" x14ac:dyDescent="0.3">
      <c r="A280" s="16" t="str">
        <f>RAW_DATA!A287</f>
        <v>ORD-0286</v>
      </c>
      <c r="B280" s="17">
        <v>45141</v>
      </c>
      <c r="C280" s="17">
        <v>45142</v>
      </c>
      <c r="D280" s="18" t="s">
        <v>572</v>
      </c>
      <c r="E280" s="18" t="s">
        <v>577</v>
      </c>
      <c r="F280" s="18" t="str">
        <f>RAW_DATA!F287</f>
        <v>WH-B</v>
      </c>
      <c r="G280" s="18">
        <f>RAW_DATA!G287</f>
        <v>92</v>
      </c>
      <c r="H280" s="18">
        <f>RAW_DATA!H287</f>
        <v>92</v>
      </c>
      <c r="I280" s="24">
        <f>RAW_DATA!I287</f>
        <v>5.13</v>
      </c>
      <c r="J280" s="24">
        <f>RAW_DATA!J287</f>
        <v>3.77</v>
      </c>
      <c r="K280" s="18">
        <f>RAW_DATA!K287</f>
        <v>5</v>
      </c>
      <c r="L280" s="24">
        <f>RAW_DATA!L287</f>
        <v>498.89</v>
      </c>
      <c r="M280" s="18">
        <f t="shared" si="8"/>
        <v>1</v>
      </c>
      <c r="N280" s="18" t="str">
        <f t="shared" si="9"/>
        <v>On Time</v>
      </c>
    </row>
    <row r="281" spans="1:14" hidden="1" x14ac:dyDescent="0.3">
      <c r="A281" s="13" t="str">
        <f>RAW_DATA!A289</f>
        <v>ORD-0288</v>
      </c>
      <c r="B281" s="14">
        <v>45060</v>
      </c>
      <c r="C281" s="14">
        <v>45062</v>
      </c>
      <c r="D281" s="15" t="s">
        <v>198</v>
      </c>
      <c r="E281" s="15" t="s">
        <v>574</v>
      </c>
      <c r="F281" s="15" t="str">
        <f>RAW_DATA!F289</f>
        <v>WH-C</v>
      </c>
      <c r="G281" s="15">
        <f>RAW_DATA!G289</f>
        <v>378</v>
      </c>
      <c r="H281" s="15">
        <f>RAW_DATA!H289</f>
        <v>378</v>
      </c>
      <c r="I281" s="23">
        <f>RAW_DATA!I289</f>
        <v>7.97</v>
      </c>
      <c r="J281" s="23">
        <f>RAW_DATA!J289</f>
        <v>5.1100000000000003</v>
      </c>
      <c r="K281" s="15">
        <f>RAW_DATA!K289</f>
        <v>2</v>
      </c>
      <c r="L281" s="23">
        <f>RAW_DATA!L289</f>
        <v>2009.17</v>
      </c>
      <c r="M281" s="15">
        <f t="shared" si="8"/>
        <v>2</v>
      </c>
      <c r="N281" s="15" t="str">
        <f t="shared" si="9"/>
        <v>On Time</v>
      </c>
    </row>
    <row r="282" spans="1:14" hidden="1" x14ac:dyDescent="0.3">
      <c r="A282" s="16" t="str">
        <f>RAW_DATA!A290</f>
        <v>ORD-0289</v>
      </c>
      <c r="B282" s="17">
        <v>44982</v>
      </c>
      <c r="C282" s="17">
        <v>44984</v>
      </c>
      <c r="D282" s="18" t="s">
        <v>572</v>
      </c>
      <c r="E282" s="18" t="s">
        <v>574</v>
      </c>
      <c r="F282" s="18" t="str">
        <f>RAW_DATA!F290</f>
        <v>WH-E</v>
      </c>
      <c r="G282" s="18">
        <f>RAW_DATA!G290</f>
        <v>250</v>
      </c>
      <c r="H282" s="18">
        <f>RAW_DATA!H290</f>
        <v>250</v>
      </c>
      <c r="I282" s="24">
        <f>RAW_DATA!I290</f>
        <v>8.35</v>
      </c>
      <c r="J282" s="24">
        <f>RAW_DATA!J290</f>
        <v>5.49</v>
      </c>
      <c r="K282" s="18">
        <f>RAW_DATA!K290</f>
        <v>5</v>
      </c>
      <c r="L282" s="24">
        <f>RAW_DATA!L290</f>
        <v>2029.63</v>
      </c>
      <c r="M282" s="18">
        <f t="shared" si="8"/>
        <v>2</v>
      </c>
      <c r="N282" s="18" t="str">
        <f t="shared" si="9"/>
        <v>On Time</v>
      </c>
    </row>
    <row r="283" spans="1:14" hidden="1" x14ac:dyDescent="0.3">
      <c r="A283" s="13" t="str">
        <f>RAW_DATA!A291</f>
        <v>ORD-0290</v>
      </c>
      <c r="B283" s="14">
        <v>45164</v>
      </c>
      <c r="C283" s="14">
        <v>45165</v>
      </c>
      <c r="D283" s="15" t="s">
        <v>572</v>
      </c>
      <c r="E283" s="15" t="s">
        <v>576</v>
      </c>
      <c r="F283" s="15" t="str">
        <f>RAW_DATA!F291</f>
        <v>WH-C</v>
      </c>
      <c r="G283" s="15">
        <f>RAW_DATA!G291</f>
        <v>66</v>
      </c>
      <c r="H283" s="15">
        <f>RAW_DATA!H291</f>
        <v>66</v>
      </c>
      <c r="I283" s="23">
        <f>RAW_DATA!I291</f>
        <v>24.23</v>
      </c>
      <c r="J283" s="23">
        <f>RAW_DATA!J291</f>
        <v>17.329999999999998</v>
      </c>
      <c r="K283" s="15">
        <f>RAW_DATA!K291</f>
        <v>5</v>
      </c>
      <c r="L283" s="23">
        <f>RAW_DATA!L291</f>
        <v>1507.65</v>
      </c>
      <c r="M283" s="15">
        <f t="shared" si="8"/>
        <v>1</v>
      </c>
      <c r="N283" s="15" t="str">
        <f t="shared" si="9"/>
        <v>On Time</v>
      </c>
    </row>
    <row r="284" spans="1:14" hidden="1" x14ac:dyDescent="0.3">
      <c r="A284" s="16" t="str">
        <f>RAW_DATA!A292</f>
        <v>ORD-0291</v>
      </c>
      <c r="B284" s="17">
        <v>45002</v>
      </c>
      <c r="C284" s="17">
        <v>45003</v>
      </c>
      <c r="D284" s="15" t="s">
        <v>578</v>
      </c>
      <c r="E284" s="18" t="s">
        <v>574</v>
      </c>
      <c r="F284" s="18" t="str">
        <f>RAW_DATA!F292</f>
        <v>WH-C</v>
      </c>
      <c r="G284" s="18">
        <f>RAW_DATA!G292</f>
        <v>202</v>
      </c>
      <c r="H284" s="18">
        <f>RAW_DATA!H292</f>
        <v>202</v>
      </c>
      <c r="I284" s="24">
        <f>RAW_DATA!I292</f>
        <v>6.63</v>
      </c>
      <c r="J284" s="24">
        <f>RAW_DATA!J292</f>
        <v>4.04</v>
      </c>
      <c r="K284" s="18">
        <f>RAW_DATA!K292</f>
        <v>3</v>
      </c>
      <c r="L284" s="24">
        <f>RAW_DATA!L292</f>
        <v>1136.03</v>
      </c>
      <c r="M284" s="18">
        <f t="shared" si="8"/>
        <v>1</v>
      </c>
      <c r="N284" s="18" t="str">
        <f t="shared" si="9"/>
        <v>On Time</v>
      </c>
    </row>
    <row r="285" spans="1:14" hidden="1" x14ac:dyDescent="0.3">
      <c r="A285" s="13" t="str">
        <f>RAW_DATA!A293</f>
        <v>ORD-0292</v>
      </c>
      <c r="B285" s="14">
        <v>45158</v>
      </c>
      <c r="C285" s="14">
        <v>45159</v>
      </c>
      <c r="D285" s="15" t="s">
        <v>198</v>
      </c>
      <c r="E285" s="15" t="s">
        <v>573</v>
      </c>
      <c r="F285" s="15" t="str">
        <f>RAW_DATA!F293</f>
        <v>WH-D</v>
      </c>
      <c r="G285" s="15">
        <f>RAW_DATA!G293</f>
        <v>68</v>
      </c>
      <c r="H285" s="15">
        <f>RAW_DATA!H293</f>
        <v>68</v>
      </c>
      <c r="I285" s="23">
        <f>RAW_DATA!I293</f>
        <v>15.39</v>
      </c>
      <c r="J285" s="23">
        <f>RAW_DATA!J293</f>
        <v>8.89</v>
      </c>
      <c r="K285" s="15">
        <f>RAW_DATA!K293</f>
        <v>2</v>
      </c>
      <c r="L285" s="23">
        <f>RAW_DATA!L293</f>
        <v>548.4</v>
      </c>
      <c r="M285" s="15">
        <f t="shared" si="8"/>
        <v>1</v>
      </c>
      <c r="N285" s="15" t="str">
        <f t="shared" si="9"/>
        <v>On Time</v>
      </c>
    </row>
    <row r="286" spans="1:14" hidden="1" x14ac:dyDescent="0.3">
      <c r="A286" s="16" t="str">
        <f>RAW_DATA!A294</f>
        <v>ORD-0293</v>
      </c>
      <c r="B286" s="17">
        <v>45132</v>
      </c>
      <c r="C286" s="17">
        <v>45133</v>
      </c>
      <c r="D286" s="18" t="s">
        <v>572</v>
      </c>
      <c r="E286" s="18" t="s">
        <v>574</v>
      </c>
      <c r="F286" s="18" t="str">
        <f>RAW_DATA!F294</f>
        <v>WH-B</v>
      </c>
      <c r="G286" s="18">
        <f>RAW_DATA!G294</f>
        <v>318</v>
      </c>
      <c r="H286" s="18">
        <f>RAW_DATA!H294</f>
        <v>318</v>
      </c>
      <c r="I286" s="24">
        <f>RAW_DATA!I294</f>
        <v>10.8</v>
      </c>
      <c r="J286" s="24">
        <f>RAW_DATA!J294</f>
        <v>6.1</v>
      </c>
      <c r="K286" s="18">
        <f>RAW_DATA!K294</f>
        <v>5</v>
      </c>
      <c r="L286" s="24">
        <f>RAW_DATA!L294</f>
        <v>2906.4</v>
      </c>
      <c r="M286" s="18">
        <f t="shared" si="8"/>
        <v>1</v>
      </c>
      <c r="N286" s="18" t="str">
        <f t="shared" si="9"/>
        <v>On Time</v>
      </c>
    </row>
    <row r="287" spans="1:14" hidden="1" x14ac:dyDescent="0.3">
      <c r="A287" s="13" t="str">
        <f>RAW_DATA!A295</f>
        <v>ORD-0294</v>
      </c>
      <c r="B287" s="14">
        <v>44974</v>
      </c>
      <c r="C287" s="14">
        <v>44982</v>
      </c>
      <c r="D287" s="15" t="s">
        <v>572</v>
      </c>
      <c r="E287" s="15" t="s">
        <v>576</v>
      </c>
      <c r="F287" s="15" t="str">
        <f>RAW_DATA!F295</f>
        <v>WH-B</v>
      </c>
      <c r="G287" s="15">
        <f>RAW_DATA!G295</f>
        <v>82</v>
      </c>
      <c r="H287" s="15">
        <f>RAW_DATA!H295</f>
        <v>71</v>
      </c>
      <c r="I287" s="23">
        <f>RAW_DATA!I295</f>
        <v>16.61</v>
      </c>
      <c r="J287" s="23">
        <f>RAW_DATA!J295</f>
        <v>12.21</v>
      </c>
      <c r="K287" s="15">
        <f>RAW_DATA!K295</f>
        <v>5</v>
      </c>
      <c r="L287" s="23">
        <f>RAW_DATA!L295</f>
        <v>1161.31</v>
      </c>
      <c r="M287" s="15">
        <f t="shared" si="8"/>
        <v>8</v>
      </c>
      <c r="N287" s="15" t="str">
        <f t="shared" si="9"/>
        <v>Late</v>
      </c>
    </row>
    <row r="288" spans="1:14" hidden="1" x14ac:dyDescent="0.3">
      <c r="A288" s="16" t="str">
        <f>RAW_DATA!A296</f>
        <v>ORD-0295</v>
      </c>
      <c r="B288" s="17">
        <v>45122</v>
      </c>
      <c r="C288" s="17">
        <v>45124</v>
      </c>
      <c r="D288" s="18" t="s">
        <v>571</v>
      </c>
      <c r="E288" s="18" t="s">
        <v>576</v>
      </c>
      <c r="F288" s="18" t="str">
        <f>RAW_DATA!F296</f>
        <v>WH-A</v>
      </c>
      <c r="G288" s="18">
        <f>RAW_DATA!G296</f>
        <v>201</v>
      </c>
      <c r="H288" s="18">
        <f>RAW_DATA!H296</f>
        <v>201</v>
      </c>
      <c r="I288" s="24">
        <f>RAW_DATA!I296</f>
        <v>18.25</v>
      </c>
      <c r="J288" s="24">
        <f>RAW_DATA!J296</f>
        <v>11.06</v>
      </c>
      <c r="K288" s="18">
        <f>RAW_DATA!K296</f>
        <v>4</v>
      </c>
      <c r="L288" s="24">
        <f>RAW_DATA!L296</f>
        <v>3179.1</v>
      </c>
      <c r="M288" s="18">
        <f t="shared" si="8"/>
        <v>2</v>
      </c>
      <c r="N288" s="18" t="str">
        <f t="shared" si="9"/>
        <v>On Time</v>
      </c>
    </row>
    <row r="289" spans="1:14" hidden="1" x14ac:dyDescent="0.3">
      <c r="A289" s="13" t="str">
        <f>RAW_DATA!A297</f>
        <v>ORD-0296</v>
      </c>
      <c r="B289" s="14">
        <v>45242</v>
      </c>
      <c r="C289" s="14">
        <v>45244</v>
      </c>
      <c r="D289" s="15" t="s">
        <v>578</v>
      </c>
      <c r="E289" s="15" t="s">
        <v>577</v>
      </c>
      <c r="F289" s="15" t="str">
        <f>RAW_DATA!F297</f>
        <v>WH-E</v>
      </c>
      <c r="G289" s="15">
        <f>RAW_DATA!G297</f>
        <v>275</v>
      </c>
      <c r="H289" s="15">
        <f>RAW_DATA!H297</f>
        <v>275</v>
      </c>
      <c r="I289" s="23">
        <f>RAW_DATA!I297</f>
        <v>6.78</v>
      </c>
      <c r="J289" s="23">
        <f>RAW_DATA!J297</f>
        <v>3.81</v>
      </c>
      <c r="K289" s="15">
        <f>RAW_DATA!K297</f>
        <v>3</v>
      </c>
      <c r="L289" s="23">
        <f>RAW_DATA!L297</f>
        <v>1118.8599999999999</v>
      </c>
      <c r="M289" s="15">
        <f t="shared" si="8"/>
        <v>2</v>
      </c>
      <c r="N289" s="15" t="str">
        <f t="shared" si="9"/>
        <v>On Time</v>
      </c>
    </row>
    <row r="290" spans="1:14" hidden="1" x14ac:dyDescent="0.3">
      <c r="A290" s="16" t="str">
        <f>RAW_DATA!A298</f>
        <v>ORD-0297</v>
      </c>
      <c r="B290" s="17">
        <v>45256</v>
      </c>
      <c r="C290" s="17">
        <v>45257</v>
      </c>
      <c r="D290" s="18" t="s">
        <v>198</v>
      </c>
      <c r="E290" s="18" t="s">
        <v>576</v>
      </c>
      <c r="F290" s="18" t="str">
        <f>RAW_DATA!F298</f>
        <v>WH-B</v>
      </c>
      <c r="G290" s="18">
        <f>RAW_DATA!G298</f>
        <v>342</v>
      </c>
      <c r="H290" s="18">
        <f>RAW_DATA!H298</f>
        <v>342</v>
      </c>
      <c r="I290" s="24">
        <f>RAW_DATA!I298</f>
        <v>22.52</v>
      </c>
      <c r="J290" s="24">
        <f>RAW_DATA!J298</f>
        <v>12.47</v>
      </c>
      <c r="K290" s="18">
        <f>RAW_DATA!K298</f>
        <v>2</v>
      </c>
      <c r="L290" s="24">
        <f>RAW_DATA!L298</f>
        <v>4817.0200000000004</v>
      </c>
      <c r="M290" s="18">
        <f t="shared" si="8"/>
        <v>1</v>
      </c>
      <c r="N290" s="18" t="str">
        <f t="shared" si="9"/>
        <v>On Time</v>
      </c>
    </row>
    <row r="291" spans="1:14" hidden="1" x14ac:dyDescent="0.3">
      <c r="A291" s="13" t="str">
        <f>RAW_DATA!A299</f>
        <v>ORD-0298</v>
      </c>
      <c r="B291" s="14">
        <v>45175</v>
      </c>
      <c r="C291" s="14">
        <v>45180</v>
      </c>
      <c r="D291" s="15" t="s">
        <v>211</v>
      </c>
      <c r="E291" s="15" t="s">
        <v>576</v>
      </c>
      <c r="F291" s="15" t="str">
        <f>RAW_DATA!F299</f>
        <v>WH-E</v>
      </c>
      <c r="G291" s="15">
        <f>RAW_DATA!G299</f>
        <v>277</v>
      </c>
      <c r="H291" s="15">
        <f>RAW_DATA!H299</f>
        <v>277</v>
      </c>
      <c r="I291" s="23">
        <f>RAW_DATA!I299</f>
        <v>19.25</v>
      </c>
      <c r="J291" s="23">
        <f>RAW_DATA!J299</f>
        <v>10.69</v>
      </c>
      <c r="K291" s="15">
        <f>RAW_DATA!K299</f>
        <v>6</v>
      </c>
      <c r="L291" s="23">
        <f>RAW_DATA!L299</f>
        <v>3725.9</v>
      </c>
      <c r="M291" s="15">
        <f t="shared" si="8"/>
        <v>5</v>
      </c>
      <c r="N291" s="15" t="str">
        <f t="shared" si="9"/>
        <v>On Time</v>
      </c>
    </row>
    <row r="292" spans="1:14" hidden="1" x14ac:dyDescent="0.3">
      <c r="A292" s="16" t="str">
        <f>RAW_DATA!A300</f>
        <v>ORD-0299</v>
      </c>
      <c r="B292" s="17">
        <v>45168</v>
      </c>
      <c r="C292" s="17">
        <v>45171</v>
      </c>
      <c r="D292" s="15" t="s">
        <v>578</v>
      </c>
      <c r="E292" s="18" t="s">
        <v>575</v>
      </c>
      <c r="F292" s="18" t="str">
        <f>RAW_DATA!F300</f>
        <v>WH-A</v>
      </c>
      <c r="G292" s="18">
        <f>RAW_DATA!G300</f>
        <v>139</v>
      </c>
      <c r="H292" s="18">
        <f>RAW_DATA!H300</f>
        <v>139</v>
      </c>
      <c r="I292" s="24">
        <f>RAW_DATA!I300</f>
        <v>12.9</v>
      </c>
      <c r="J292" s="24">
        <f>RAW_DATA!J300</f>
        <v>8.7899999999999991</v>
      </c>
      <c r="K292" s="18">
        <f>RAW_DATA!K300</f>
        <v>3</v>
      </c>
      <c r="L292" s="24">
        <f>RAW_DATA!L300</f>
        <v>1295.02</v>
      </c>
      <c r="M292" s="18">
        <f t="shared" si="8"/>
        <v>3</v>
      </c>
      <c r="N292" s="18" t="str">
        <f t="shared" si="9"/>
        <v>On Time</v>
      </c>
    </row>
    <row r="293" spans="1:14" hidden="1" x14ac:dyDescent="0.3">
      <c r="A293" s="13" t="str">
        <f>RAW_DATA!A301</f>
        <v>ORD-0300</v>
      </c>
      <c r="B293" s="14">
        <v>45125</v>
      </c>
      <c r="C293" s="14">
        <v>45122</v>
      </c>
      <c r="D293" s="15" t="s">
        <v>578</v>
      </c>
      <c r="E293" s="15" t="s">
        <v>574</v>
      </c>
      <c r="F293" s="15" t="str">
        <f>RAW_DATA!F301</f>
        <v>WH-E</v>
      </c>
      <c r="G293" s="15">
        <f>RAW_DATA!G301</f>
        <v>110</v>
      </c>
      <c r="H293" s="15">
        <f>RAW_DATA!H301</f>
        <v>110</v>
      </c>
      <c r="I293" s="23">
        <f>RAW_DATA!I301</f>
        <v>7.93</v>
      </c>
      <c r="J293" s="23">
        <f>RAW_DATA!J301</f>
        <v>5.53</v>
      </c>
      <c r="K293" s="15">
        <f>RAW_DATA!K301</f>
        <v>3</v>
      </c>
      <c r="L293" s="23">
        <f>RAW_DATA!L301</f>
        <v>678.42</v>
      </c>
      <c r="M293" s="15" t="s">
        <v>581</v>
      </c>
      <c r="N293" s="15" t="s">
        <v>583</v>
      </c>
    </row>
    <row r="294" spans="1:14" hidden="1" x14ac:dyDescent="0.3">
      <c r="A294" s="16" t="str">
        <f>RAW_DATA!A302</f>
        <v>ORD-0301</v>
      </c>
      <c r="B294" s="17">
        <v>45215</v>
      </c>
      <c r="C294" s="17">
        <v>45216</v>
      </c>
      <c r="D294" s="15" t="s">
        <v>578</v>
      </c>
      <c r="E294" s="18" t="s">
        <v>575</v>
      </c>
      <c r="F294" s="18" t="str">
        <f>RAW_DATA!F302</f>
        <v>WH-E</v>
      </c>
      <c r="G294" s="18">
        <f>RAW_DATA!G302</f>
        <v>272</v>
      </c>
      <c r="H294" s="18">
        <f>RAW_DATA!H302</f>
        <v>272</v>
      </c>
      <c r="I294" s="24">
        <f>RAW_DATA!I302</f>
        <v>13.58</v>
      </c>
      <c r="J294" s="24">
        <f>RAW_DATA!J302</f>
        <v>7.57</v>
      </c>
      <c r="K294" s="18">
        <f>RAW_DATA!K302</f>
        <v>3</v>
      </c>
      <c r="L294" s="24">
        <f>RAW_DATA!L302</f>
        <v>1922.53</v>
      </c>
      <c r="M294" s="18">
        <f t="shared" si="8"/>
        <v>1</v>
      </c>
      <c r="N294" s="18" t="str">
        <f t="shared" si="9"/>
        <v>On Time</v>
      </c>
    </row>
    <row r="295" spans="1:14" hidden="1" x14ac:dyDescent="0.3">
      <c r="A295" s="13" t="str">
        <f>RAW_DATA!A303</f>
        <v>ORD-0302</v>
      </c>
      <c r="B295" s="14">
        <v>45171</v>
      </c>
      <c r="C295" s="14">
        <v>45176</v>
      </c>
      <c r="D295" s="15" t="s">
        <v>572</v>
      </c>
      <c r="E295" s="15" t="s">
        <v>573</v>
      </c>
      <c r="F295" s="15" t="str">
        <f>RAW_DATA!F303</f>
        <v>WH-E</v>
      </c>
      <c r="G295" s="15">
        <f>RAW_DATA!G303</f>
        <v>123</v>
      </c>
      <c r="H295" s="15">
        <f>RAW_DATA!H303</f>
        <v>123</v>
      </c>
      <c r="I295" s="23">
        <f>RAW_DATA!I303</f>
        <v>12.05</v>
      </c>
      <c r="J295" s="23">
        <f>RAW_DATA!J303</f>
        <v>7.06</v>
      </c>
      <c r="K295" s="15">
        <f>RAW_DATA!K303</f>
        <v>5</v>
      </c>
      <c r="L295" s="23">
        <f>RAW_DATA!L303</f>
        <v>1199.6300000000001</v>
      </c>
      <c r="M295" s="15">
        <f t="shared" si="8"/>
        <v>5</v>
      </c>
      <c r="N295" s="15" t="str">
        <f t="shared" si="9"/>
        <v>On Time</v>
      </c>
    </row>
    <row r="296" spans="1:14" hidden="1" x14ac:dyDescent="0.3">
      <c r="A296" s="16" t="str">
        <f>RAW_DATA!A304</f>
        <v>ORD-0303</v>
      </c>
      <c r="B296" s="17">
        <v>45002</v>
      </c>
      <c r="C296" s="17">
        <v>45004</v>
      </c>
      <c r="D296" s="18" t="s">
        <v>211</v>
      </c>
      <c r="E296" s="18" t="s">
        <v>573</v>
      </c>
      <c r="F296" s="18" t="str">
        <f>RAW_DATA!F304</f>
        <v>WH-A</v>
      </c>
      <c r="G296" s="18">
        <f>RAW_DATA!G304</f>
        <v>76</v>
      </c>
      <c r="H296" s="18">
        <f>RAW_DATA!H304</f>
        <v>76</v>
      </c>
      <c r="I296" s="24">
        <f>RAW_DATA!I304</f>
        <v>15.8</v>
      </c>
      <c r="J296" s="24">
        <f>RAW_DATA!J304</f>
        <v>11.73</v>
      </c>
      <c r="K296" s="18">
        <f>RAW_DATA!K304</f>
        <v>6</v>
      </c>
      <c r="L296" s="24">
        <f>RAW_DATA!L304</f>
        <v>1002.16</v>
      </c>
      <c r="M296" s="18">
        <f t="shared" si="8"/>
        <v>2</v>
      </c>
      <c r="N296" s="18" t="str">
        <f t="shared" si="9"/>
        <v>On Time</v>
      </c>
    </row>
    <row r="297" spans="1:14" hidden="1" x14ac:dyDescent="0.3">
      <c r="A297" s="13" t="str">
        <f>RAW_DATA!A305</f>
        <v>ORD-0304</v>
      </c>
      <c r="B297" s="14">
        <v>45099</v>
      </c>
      <c r="C297" s="14">
        <v>45101</v>
      </c>
      <c r="D297" s="15" t="s">
        <v>571</v>
      </c>
      <c r="E297" s="15" t="s">
        <v>577</v>
      </c>
      <c r="F297" s="15" t="str">
        <f>RAW_DATA!F305</f>
        <v>WH-A</v>
      </c>
      <c r="G297" s="15">
        <f>RAW_DATA!G305</f>
        <v>100</v>
      </c>
      <c r="H297" s="15">
        <f>RAW_DATA!H305</f>
        <v>100</v>
      </c>
      <c r="I297" s="23">
        <f>RAW_DATA!I305</f>
        <v>6.37</v>
      </c>
      <c r="J297" s="23">
        <f>RAW_DATA!J305</f>
        <v>4.32</v>
      </c>
      <c r="K297" s="15">
        <f>RAW_DATA!K305</f>
        <v>4</v>
      </c>
      <c r="L297" s="23">
        <f>RAW_DATA!L305</f>
        <v>515.08000000000004</v>
      </c>
      <c r="M297" s="15">
        <f t="shared" si="8"/>
        <v>2</v>
      </c>
      <c r="N297" s="15" t="str">
        <f t="shared" si="9"/>
        <v>On Time</v>
      </c>
    </row>
    <row r="298" spans="1:14" hidden="1" x14ac:dyDescent="0.3">
      <c r="A298" s="16" t="str">
        <f>RAW_DATA!A306</f>
        <v>ORD-0305</v>
      </c>
      <c r="B298" s="17">
        <v>45282</v>
      </c>
      <c r="C298" s="17">
        <v>45287</v>
      </c>
      <c r="D298" s="18" t="s">
        <v>211</v>
      </c>
      <c r="E298" s="18" t="s">
        <v>574</v>
      </c>
      <c r="F298" s="18" t="str">
        <f>RAW_DATA!F306</f>
        <v>WH-E</v>
      </c>
      <c r="G298" s="18">
        <f>RAW_DATA!G306</f>
        <v>202</v>
      </c>
      <c r="H298" s="18">
        <f>RAW_DATA!H306</f>
        <v>202</v>
      </c>
      <c r="I298" s="24">
        <f>RAW_DATA!I306</f>
        <v>9.23</v>
      </c>
      <c r="J298" s="24">
        <f>RAW_DATA!J306</f>
        <v>5.4</v>
      </c>
      <c r="K298" s="18">
        <f>RAW_DATA!K306</f>
        <v>6</v>
      </c>
      <c r="L298" s="24">
        <f>RAW_DATA!L306</f>
        <v>1182.53</v>
      </c>
      <c r="M298" s="18">
        <f t="shared" si="8"/>
        <v>5</v>
      </c>
      <c r="N298" s="18" t="str">
        <f t="shared" si="9"/>
        <v>On Time</v>
      </c>
    </row>
    <row r="299" spans="1:14" hidden="1" x14ac:dyDescent="0.3">
      <c r="A299" s="13" t="str">
        <f>RAW_DATA!A307</f>
        <v>ORD-0306</v>
      </c>
      <c r="B299" s="14">
        <v>44927</v>
      </c>
      <c r="C299" s="14">
        <v>44930</v>
      </c>
      <c r="D299" s="15" t="s">
        <v>579</v>
      </c>
      <c r="E299" s="15" t="s">
        <v>574</v>
      </c>
      <c r="F299" s="15" t="str">
        <f>RAW_DATA!F307</f>
        <v>WH-B</v>
      </c>
      <c r="G299" s="15">
        <f>RAW_DATA!G307</f>
        <v>220</v>
      </c>
      <c r="H299" s="15">
        <f>RAW_DATA!H307</f>
        <v>220</v>
      </c>
      <c r="I299" s="23">
        <f>RAW_DATA!I307</f>
        <v>10.1</v>
      </c>
      <c r="J299" s="23">
        <f>RAW_DATA!J307</f>
        <v>6.7</v>
      </c>
      <c r="K299" s="15">
        <f>RAW_DATA!K307</f>
        <v>3</v>
      </c>
      <c r="L299" s="23">
        <f>RAW_DATA!L307</f>
        <v>1487.63</v>
      </c>
      <c r="M299" s="15">
        <f t="shared" si="8"/>
        <v>3</v>
      </c>
      <c r="N299" s="15" t="str">
        <f t="shared" si="9"/>
        <v>On Time</v>
      </c>
    </row>
    <row r="300" spans="1:14" hidden="1" x14ac:dyDescent="0.3">
      <c r="A300" s="16" t="str">
        <f>RAW_DATA!A308</f>
        <v>ORD-0307</v>
      </c>
      <c r="B300" s="17">
        <v>45254</v>
      </c>
      <c r="C300" s="17">
        <v>45258</v>
      </c>
      <c r="D300" s="18" t="s">
        <v>211</v>
      </c>
      <c r="E300" s="18" t="s">
        <v>577</v>
      </c>
      <c r="F300" s="18" t="str">
        <f>RAW_DATA!F308</f>
        <v>WH-B</v>
      </c>
      <c r="G300" s="18">
        <f>RAW_DATA!G308</f>
        <v>92</v>
      </c>
      <c r="H300" s="18">
        <f>RAW_DATA!H308</f>
        <v>92</v>
      </c>
      <c r="I300" s="24">
        <f>RAW_DATA!I308</f>
        <v>5.08</v>
      </c>
      <c r="J300" s="24">
        <f>RAW_DATA!J308</f>
        <v>3.15</v>
      </c>
      <c r="K300" s="18">
        <f>RAW_DATA!K308</f>
        <v>6</v>
      </c>
      <c r="L300" s="24">
        <f>RAW_DATA!L308</f>
        <v>316.38</v>
      </c>
      <c r="M300" s="18">
        <f t="shared" si="8"/>
        <v>4</v>
      </c>
      <c r="N300" s="18" t="str">
        <f t="shared" si="9"/>
        <v>On Time</v>
      </c>
    </row>
    <row r="301" spans="1:14" hidden="1" x14ac:dyDescent="0.3">
      <c r="A301" s="13" t="str">
        <f>RAW_DATA!A309</f>
        <v>ORD-0308</v>
      </c>
      <c r="B301" s="14">
        <v>44932</v>
      </c>
      <c r="C301" s="14">
        <v>44934</v>
      </c>
      <c r="D301" s="15" t="s">
        <v>569</v>
      </c>
      <c r="E301" s="15" t="s">
        <v>575</v>
      </c>
      <c r="F301" s="15" t="str">
        <f>RAW_DATA!F309</f>
        <v>WH-D</v>
      </c>
      <c r="G301" s="15">
        <f>RAW_DATA!G309</f>
        <v>374</v>
      </c>
      <c r="H301" s="15">
        <f>RAW_DATA!H309</f>
        <v>374</v>
      </c>
      <c r="I301" s="23">
        <f>RAW_DATA!I309</f>
        <v>14.31</v>
      </c>
      <c r="J301" s="23">
        <f>RAW_DATA!J309</f>
        <v>8.18</v>
      </c>
      <c r="K301" s="15">
        <f>RAW_DATA!K309</f>
        <v>4</v>
      </c>
      <c r="L301" s="23">
        <f>RAW_DATA!L309</f>
        <v>2755.74</v>
      </c>
      <c r="M301" s="15">
        <f t="shared" si="8"/>
        <v>2</v>
      </c>
      <c r="N301" s="15" t="str">
        <f t="shared" si="9"/>
        <v>On Time</v>
      </c>
    </row>
    <row r="302" spans="1:14" hidden="1" x14ac:dyDescent="0.3">
      <c r="A302" s="16" t="str">
        <f>RAW_DATA!A310</f>
        <v>ORD-0309</v>
      </c>
      <c r="B302" s="17">
        <v>45012</v>
      </c>
      <c r="C302" s="17">
        <v>45016</v>
      </c>
      <c r="D302" s="18" t="s">
        <v>571</v>
      </c>
      <c r="E302" s="18" t="s">
        <v>576</v>
      </c>
      <c r="F302" s="18" t="str">
        <f>RAW_DATA!F310</f>
        <v>WH-D</v>
      </c>
      <c r="G302" s="18">
        <f>RAW_DATA!G310</f>
        <v>213</v>
      </c>
      <c r="H302" s="18">
        <f>RAW_DATA!H310</f>
        <v>213</v>
      </c>
      <c r="I302" s="24">
        <f>RAW_DATA!I310</f>
        <v>20.5</v>
      </c>
      <c r="J302" s="24">
        <f>RAW_DATA!J310</f>
        <v>14.67</v>
      </c>
      <c r="K302" s="18">
        <f>RAW_DATA!K310</f>
        <v>4</v>
      </c>
      <c r="L302" s="24">
        <f>RAW_DATA!L310</f>
        <v>4290.97</v>
      </c>
      <c r="M302" s="18">
        <f t="shared" si="8"/>
        <v>4</v>
      </c>
      <c r="N302" s="18" t="str">
        <f t="shared" si="9"/>
        <v>On Time</v>
      </c>
    </row>
    <row r="303" spans="1:14" hidden="1" x14ac:dyDescent="0.3">
      <c r="A303" s="13" t="str">
        <f>RAW_DATA!A311</f>
        <v>ORD-0310</v>
      </c>
      <c r="B303" s="14">
        <v>44964</v>
      </c>
      <c r="C303" s="14">
        <v>44965</v>
      </c>
      <c r="D303" s="15" t="s">
        <v>572</v>
      </c>
      <c r="E303" s="15" t="s">
        <v>574</v>
      </c>
      <c r="F303" s="15" t="str">
        <f>RAW_DATA!F311</f>
        <v>WH-D</v>
      </c>
      <c r="G303" s="15">
        <f>RAW_DATA!G311</f>
        <v>170</v>
      </c>
      <c r="H303" s="15">
        <f>RAW_DATA!H311</f>
        <v>134</v>
      </c>
      <c r="I303" s="23">
        <f>RAW_DATA!I311</f>
        <v>10.97</v>
      </c>
      <c r="J303" s="23">
        <f>RAW_DATA!J311</f>
        <v>6.2</v>
      </c>
      <c r="K303" s="15">
        <f>RAW_DATA!K311</f>
        <v>5</v>
      </c>
      <c r="L303" s="23">
        <f>RAW_DATA!L311</f>
        <v>1056.17</v>
      </c>
      <c r="M303" s="15">
        <f t="shared" si="8"/>
        <v>1</v>
      </c>
      <c r="N303" s="15" t="str">
        <f t="shared" si="9"/>
        <v>On Time</v>
      </c>
    </row>
    <row r="304" spans="1:14" hidden="1" x14ac:dyDescent="0.3">
      <c r="A304" s="16" t="str">
        <f>RAW_DATA!A312</f>
        <v>ORD-0311</v>
      </c>
      <c r="B304" s="17">
        <v>45207</v>
      </c>
      <c r="C304" s="17">
        <v>45212</v>
      </c>
      <c r="D304" s="18" t="s">
        <v>571</v>
      </c>
      <c r="E304" s="18" t="s">
        <v>574</v>
      </c>
      <c r="F304" s="18" t="str">
        <f>RAW_DATA!F312</f>
        <v>WH-A</v>
      </c>
      <c r="G304" s="18">
        <f>RAW_DATA!G312</f>
        <v>193</v>
      </c>
      <c r="H304" s="18">
        <f>RAW_DATA!H312</f>
        <v>193</v>
      </c>
      <c r="I304" s="24">
        <f>RAW_DATA!I312</f>
        <v>9.35</v>
      </c>
      <c r="J304" s="24">
        <f>RAW_DATA!J312</f>
        <v>6.05</v>
      </c>
      <c r="K304" s="18">
        <f>RAW_DATA!K312</f>
        <v>4</v>
      </c>
      <c r="L304" s="24">
        <f>RAW_DATA!L312</f>
        <v>1072.5999999999999</v>
      </c>
      <c r="M304" s="18">
        <f t="shared" si="8"/>
        <v>5</v>
      </c>
      <c r="N304" s="18" t="str">
        <f t="shared" si="9"/>
        <v>Late</v>
      </c>
    </row>
    <row r="305" spans="1:14" hidden="1" x14ac:dyDescent="0.3">
      <c r="A305" s="13" t="str">
        <f>RAW_DATA!A313</f>
        <v>ORD-0312</v>
      </c>
      <c r="B305" s="14">
        <v>45007</v>
      </c>
      <c r="C305" s="14">
        <v>45009</v>
      </c>
      <c r="D305" s="15" t="s">
        <v>198</v>
      </c>
      <c r="E305" s="15" t="s">
        <v>577</v>
      </c>
      <c r="F305" s="15" t="str">
        <f>RAW_DATA!F313</f>
        <v>WH-D</v>
      </c>
      <c r="G305" s="15">
        <f>RAW_DATA!G313</f>
        <v>125</v>
      </c>
      <c r="H305" s="15">
        <f>RAW_DATA!H313</f>
        <v>125</v>
      </c>
      <c r="I305" s="23">
        <f>RAW_DATA!I313</f>
        <v>6.27</v>
      </c>
      <c r="J305" s="23">
        <f>RAW_DATA!J313</f>
        <v>4.1399999999999997</v>
      </c>
      <c r="K305" s="15">
        <f>RAW_DATA!K313</f>
        <v>2</v>
      </c>
      <c r="L305" s="23">
        <f>RAW_DATA!L313</f>
        <v>753.14</v>
      </c>
      <c r="M305" s="15">
        <f t="shared" si="8"/>
        <v>2</v>
      </c>
      <c r="N305" s="15" t="str">
        <f t="shared" si="9"/>
        <v>On Time</v>
      </c>
    </row>
    <row r="306" spans="1:14" hidden="1" x14ac:dyDescent="0.3">
      <c r="A306" s="16" t="str">
        <f>RAW_DATA!A314</f>
        <v>ORD-0313</v>
      </c>
      <c r="B306" s="17">
        <v>45048</v>
      </c>
      <c r="C306" s="17">
        <v>45050</v>
      </c>
      <c r="D306" s="18" t="s">
        <v>579</v>
      </c>
      <c r="E306" s="18" t="s">
        <v>575</v>
      </c>
      <c r="F306" s="18" t="str">
        <f>RAW_DATA!F314</f>
        <v>WH-C</v>
      </c>
      <c r="G306" s="18">
        <f>RAW_DATA!G314</f>
        <v>312</v>
      </c>
      <c r="H306" s="18">
        <f>RAW_DATA!H314</f>
        <v>312</v>
      </c>
      <c r="I306" s="24">
        <f>RAW_DATA!I314</f>
        <v>16.420000000000002</v>
      </c>
      <c r="J306" s="24">
        <f>RAW_DATA!J314</f>
        <v>9.2100000000000009</v>
      </c>
      <c r="K306" s="18">
        <f>RAW_DATA!K314</f>
        <v>3</v>
      </c>
      <c r="L306" s="24">
        <f>RAW_DATA!L314</f>
        <v>2592.75</v>
      </c>
      <c r="M306" s="18">
        <f t="shared" si="8"/>
        <v>2</v>
      </c>
      <c r="N306" s="18" t="str">
        <f t="shared" si="9"/>
        <v>On Time</v>
      </c>
    </row>
    <row r="307" spans="1:14" hidden="1" x14ac:dyDescent="0.3">
      <c r="A307" s="13" t="str">
        <f>RAW_DATA!A315</f>
        <v>ORD-0314</v>
      </c>
      <c r="B307" s="14">
        <v>45172</v>
      </c>
      <c r="C307" s="14">
        <v>45173</v>
      </c>
      <c r="D307" s="15" t="s">
        <v>569</v>
      </c>
      <c r="E307" s="15" t="s">
        <v>575</v>
      </c>
      <c r="F307" s="15" t="str">
        <f>RAW_DATA!F315</f>
        <v>WH-E</v>
      </c>
      <c r="G307" s="15">
        <f>RAW_DATA!G315</f>
        <v>125</v>
      </c>
      <c r="H307" s="15">
        <f>RAW_DATA!H315</f>
        <v>125</v>
      </c>
      <c r="I307" s="23">
        <f>RAW_DATA!I315</f>
        <v>14.63</v>
      </c>
      <c r="J307" s="23">
        <f>RAW_DATA!J315</f>
        <v>8.2899999999999991</v>
      </c>
      <c r="K307" s="15">
        <f>RAW_DATA!K315</f>
        <v>4</v>
      </c>
      <c r="L307" s="26">
        <f>RAW_DATA!L315</f>
        <v>0</v>
      </c>
      <c r="M307" s="15">
        <f t="shared" si="8"/>
        <v>1</v>
      </c>
      <c r="N307" s="15" t="str">
        <f t="shared" si="9"/>
        <v>On Time</v>
      </c>
    </row>
    <row r="308" spans="1:14" hidden="1" x14ac:dyDescent="0.3">
      <c r="A308" s="16" t="str">
        <f>RAW_DATA!A317</f>
        <v>ORD-0316</v>
      </c>
      <c r="B308" s="17">
        <v>45061</v>
      </c>
      <c r="C308" s="17">
        <v>45063</v>
      </c>
      <c r="D308" s="18" t="s">
        <v>198</v>
      </c>
      <c r="E308" s="18" t="s">
        <v>576</v>
      </c>
      <c r="F308" s="18" t="str">
        <f>RAW_DATA!F317</f>
        <v>WH-A</v>
      </c>
      <c r="G308" s="18">
        <f>RAW_DATA!G317</f>
        <v>135</v>
      </c>
      <c r="H308" s="18">
        <f>RAW_DATA!H317</f>
        <v>135</v>
      </c>
      <c r="I308" s="24" t="str">
        <f>RAW_DATA!I317</f>
        <v>$22.77</v>
      </c>
      <c r="J308" s="24">
        <f>RAW_DATA!J317</f>
        <v>13.21</v>
      </c>
      <c r="K308" s="18">
        <f>RAW_DATA!K317</f>
        <v>2</v>
      </c>
      <c r="L308" s="24">
        <f>RAW_DATA!L317</f>
        <v>2350.25</v>
      </c>
      <c r="M308" s="18">
        <f t="shared" si="8"/>
        <v>2</v>
      </c>
      <c r="N308" s="18" t="str">
        <f t="shared" si="9"/>
        <v>On Time</v>
      </c>
    </row>
    <row r="309" spans="1:14" hidden="1" x14ac:dyDescent="0.3">
      <c r="A309" s="13" t="str">
        <f>RAW_DATA!A318</f>
        <v>ORD-0317</v>
      </c>
      <c r="B309" s="14">
        <v>45204</v>
      </c>
      <c r="C309" s="14">
        <v>45206</v>
      </c>
      <c r="D309" s="15" t="s">
        <v>569</v>
      </c>
      <c r="E309" s="15" t="s">
        <v>573</v>
      </c>
      <c r="F309" s="15" t="str">
        <f>RAW_DATA!F318</f>
        <v>WH-C</v>
      </c>
      <c r="G309" s="15">
        <f>RAW_DATA!G318</f>
        <v>303</v>
      </c>
      <c r="H309" s="15">
        <f>RAW_DATA!H318</f>
        <v>303</v>
      </c>
      <c r="I309" s="23">
        <f>RAW_DATA!I318</f>
        <v>12.39</v>
      </c>
      <c r="J309" s="23">
        <f>RAW_DATA!J318</f>
        <v>8.11</v>
      </c>
      <c r="K309" s="15">
        <f>RAW_DATA!K318</f>
        <v>4</v>
      </c>
      <c r="L309" s="23">
        <f>RAW_DATA!L318</f>
        <v>3635.32</v>
      </c>
      <c r="M309" s="15">
        <f t="shared" si="8"/>
        <v>2</v>
      </c>
      <c r="N309" s="15" t="str">
        <f t="shared" si="9"/>
        <v>On Time</v>
      </c>
    </row>
    <row r="310" spans="1:14" x14ac:dyDescent="0.3">
      <c r="A310" s="16" t="str">
        <f>RAW_DATA!A319</f>
        <v>ORD-0318</v>
      </c>
      <c r="B310" s="17">
        <v>45170</v>
      </c>
      <c r="C310" s="17">
        <v>45174</v>
      </c>
      <c r="D310" s="18" t="s">
        <v>570</v>
      </c>
      <c r="E310" s="18" t="s">
        <v>577</v>
      </c>
      <c r="F310" s="18" t="str">
        <f>RAW_DATA!F319</f>
        <v>WH-B</v>
      </c>
      <c r="G310" s="18">
        <f>RAW_DATA!G319</f>
        <v>385</v>
      </c>
      <c r="H310" s="18">
        <f>RAW_DATA!H319</f>
        <v>342</v>
      </c>
      <c r="I310" s="24">
        <f>RAW_DATA!I319</f>
        <v>8.0399999999999991</v>
      </c>
      <c r="J310" s="24">
        <f>RAW_DATA!J319</f>
        <v>5.71</v>
      </c>
      <c r="K310" s="18">
        <f>RAW_DATA!K319</f>
        <v>7</v>
      </c>
      <c r="L310" s="24">
        <f>RAW_DATA!L319</f>
        <v>2872.19</v>
      </c>
      <c r="M310" s="18">
        <f t="shared" si="8"/>
        <v>4</v>
      </c>
      <c r="N310" s="18" t="str">
        <f t="shared" si="9"/>
        <v>On Time</v>
      </c>
    </row>
    <row r="311" spans="1:14" hidden="1" x14ac:dyDescent="0.3">
      <c r="A311" s="13" t="str">
        <f>RAW_DATA!A320</f>
        <v>ORD-0319</v>
      </c>
      <c r="B311" s="14">
        <v>45015</v>
      </c>
      <c r="C311" s="14">
        <v>45016</v>
      </c>
      <c r="D311" s="15" t="s">
        <v>198</v>
      </c>
      <c r="E311" s="15" t="s">
        <v>573</v>
      </c>
      <c r="F311" s="15" t="str">
        <f>RAW_DATA!F320</f>
        <v>WH-D</v>
      </c>
      <c r="G311" s="15">
        <f>RAW_DATA!G320</f>
        <v>128</v>
      </c>
      <c r="H311" s="15">
        <f>RAW_DATA!H320</f>
        <v>128</v>
      </c>
      <c r="I311" s="23">
        <f>RAW_DATA!I320</f>
        <v>10.51</v>
      </c>
      <c r="J311" s="23">
        <f>RAW_DATA!J320</f>
        <v>6.67</v>
      </c>
      <c r="K311" s="15">
        <f>RAW_DATA!K320</f>
        <v>2</v>
      </c>
      <c r="L311" s="23">
        <f>RAW_DATA!L320</f>
        <v>1274.6400000000001</v>
      </c>
      <c r="M311" s="15">
        <f t="shared" si="8"/>
        <v>1</v>
      </c>
      <c r="N311" s="15" t="str">
        <f t="shared" si="9"/>
        <v>On Time</v>
      </c>
    </row>
    <row r="312" spans="1:14" hidden="1" x14ac:dyDescent="0.3">
      <c r="A312" s="16" t="str">
        <f>RAW_DATA!A321</f>
        <v>ORD-0320</v>
      </c>
      <c r="B312" s="17">
        <v>45231</v>
      </c>
      <c r="C312" s="17">
        <v>45232</v>
      </c>
      <c r="D312" s="18" t="s">
        <v>571</v>
      </c>
      <c r="E312" s="18" t="s">
        <v>574</v>
      </c>
      <c r="F312" s="18" t="str">
        <f>RAW_DATA!F321</f>
        <v>WH-B</v>
      </c>
      <c r="G312" s="18">
        <f>RAW_DATA!G321</f>
        <v>64</v>
      </c>
      <c r="H312" s="18">
        <f>RAW_DATA!H321</f>
        <v>64</v>
      </c>
      <c r="I312" s="24">
        <f>RAW_DATA!I321</f>
        <v>8.31</v>
      </c>
      <c r="J312" s="24">
        <f>RAW_DATA!J321</f>
        <v>5.1100000000000003</v>
      </c>
      <c r="K312" s="18">
        <f>RAW_DATA!K321</f>
        <v>4</v>
      </c>
      <c r="L312" s="24">
        <f>RAW_DATA!L321</f>
        <v>348.53</v>
      </c>
      <c r="M312" s="18">
        <f t="shared" si="8"/>
        <v>1</v>
      </c>
      <c r="N312" s="18" t="str">
        <f t="shared" si="9"/>
        <v>On Time</v>
      </c>
    </row>
    <row r="313" spans="1:14" x14ac:dyDescent="0.3">
      <c r="A313" s="13" t="str">
        <f>RAW_DATA!A322</f>
        <v>ORD-0321</v>
      </c>
      <c r="B313" s="14">
        <v>45227</v>
      </c>
      <c r="C313" s="14">
        <v>45231</v>
      </c>
      <c r="D313" s="15" t="s">
        <v>570</v>
      </c>
      <c r="E313" s="15" t="s">
        <v>573</v>
      </c>
      <c r="F313" s="15" t="str">
        <f>RAW_DATA!F322</f>
        <v>WH-E</v>
      </c>
      <c r="G313" s="15">
        <f>RAW_DATA!G322</f>
        <v>77</v>
      </c>
      <c r="H313" s="15">
        <f>RAW_DATA!H322</f>
        <v>77</v>
      </c>
      <c r="I313" s="23" t="str">
        <f>RAW_DATA!I322</f>
        <v>$10.67</v>
      </c>
      <c r="J313" s="23">
        <f>RAW_DATA!J322</f>
        <v>7.12</v>
      </c>
      <c r="K313" s="15">
        <f>RAW_DATA!K322</f>
        <v>7</v>
      </c>
      <c r="L313" s="23">
        <f>RAW_DATA!L322</f>
        <v>742.88</v>
      </c>
      <c r="M313" s="15">
        <f t="shared" si="8"/>
        <v>4</v>
      </c>
      <c r="N313" s="15" t="str">
        <f t="shared" si="9"/>
        <v>On Time</v>
      </c>
    </row>
    <row r="314" spans="1:14" hidden="1" x14ac:dyDescent="0.3">
      <c r="A314" s="16" t="str">
        <f>RAW_DATA!A323</f>
        <v>ORD-0322</v>
      </c>
      <c r="B314" s="17">
        <v>44978</v>
      </c>
      <c r="C314" s="17">
        <v>44981</v>
      </c>
      <c r="D314" s="18" t="s">
        <v>569</v>
      </c>
      <c r="E314" s="18" t="s">
        <v>573</v>
      </c>
      <c r="F314" s="18" t="str">
        <f>RAW_DATA!F323</f>
        <v>WH-E</v>
      </c>
      <c r="G314" s="18">
        <f>RAW_DATA!G323</f>
        <v>230</v>
      </c>
      <c r="H314" s="18">
        <f>RAW_DATA!H323</f>
        <v>230</v>
      </c>
      <c r="I314" s="24">
        <f>RAW_DATA!I323</f>
        <v>14.31</v>
      </c>
      <c r="J314" s="24">
        <f>RAW_DATA!J323</f>
        <v>9.51</v>
      </c>
      <c r="K314" s="18">
        <f>RAW_DATA!K323</f>
        <v>4</v>
      </c>
      <c r="L314" s="24">
        <f>RAW_DATA!L323</f>
        <v>2589.39</v>
      </c>
      <c r="M314" s="18">
        <f t="shared" si="8"/>
        <v>3</v>
      </c>
      <c r="N314" s="18" t="str">
        <f t="shared" si="9"/>
        <v>On Time</v>
      </c>
    </row>
    <row r="315" spans="1:14" hidden="1" x14ac:dyDescent="0.3">
      <c r="A315" s="13" t="str">
        <f>RAW_DATA!A324</f>
        <v>ORD-0323</v>
      </c>
      <c r="B315" s="14">
        <v>45000</v>
      </c>
      <c r="C315" s="14">
        <v>45002</v>
      </c>
      <c r="D315" s="15" t="s">
        <v>198</v>
      </c>
      <c r="E315" s="15" t="s">
        <v>575</v>
      </c>
      <c r="F315" s="15" t="str">
        <f>RAW_DATA!F324</f>
        <v>WH-D</v>
      </c>
      <c r="G315" s="15">
        <f>RAW_DATA!G324</f>
        <v>39</v>
      </c>
      <c r="H315" s="15">
        <f>RAW_DATA!H324</f>
        <v>39</v>
      </c>
      <c r="I315" s="23">
        <f>RAW_DATA!I324</f>
        <v>19.91</v>
      </c>
      <c r="J315" s="23">
        <f>RAW_DATA!J324</f>
        <v>13.7</v>
      </c>
      <c r="K315" s="15">
        <f>RAW_DATA!K324</f>
        <v>2</v>
      </c>
      <c r="L315" s="23">
        <f>RAW_DATA!L324</f>
        <v>496.67</v>
      </c>
      <c r="M315" s="15">
        <f t="shared" si="8"/>
        <v>2</v>
      </c>
      <c r="N315" s="15" t="str">
        <f t="shared" si="9"/>
        <v>On Time</v>
      </c>
    </row>
    <row r="316" spans="1:14" x14ac:dyDescent="0.3">
      <c r="A316" s="16" t="str">
        <f>RAW_DATA!A325</f>
        <v>ORD-0324</v>
      </c>
      <c r="B316" s="17">
        <v>44937</v>
      </c>
      <c r="C316" s="17">
        <v>44944</v>
      </c>
      <c r="D316" s="18" t="s">
        <v>570</v>
      </c>
      <c r="E316" s="18" t="s">
        <v>575</v>
      </c>
      <c r="F316" s="18" t="str">
        <f>RAW_DATA!F325</f>
        <v>WH-C</v>
      </c>
      <c r="G316" s="18">
        <f>RAW_DATA!G325</f>
        <v>175</v>
      </c>
      <c r="H316" s="18">
        <f>RAW_DATA!H325</f>
        <v>175</v>
      </c>
      <c r="I316" s="24">
        <f>RAW_DATA!I325</f>
        <v>19.59</v>
      </c>
      <c r="J316" s="24">
        <f>RAW_DATA!J325</f>
        <v>14.14</v>
      </c>
      <c r="K316" s="18">
        <f>RAW_DATA!K325</f>
        <v>7</v>
      </c>
      <c r="L316" s="24">
        <f>RAW_DATA!L325</f>
        <v>3243.85</v>
      </c>
      <c r="M316" s="18">
        <f t="shared" si="8"/>
        <v>7</v>
      </c>
      <c r="N316" s="18" t="str">
        <f t="shared" si="9"/>
        <v>On Time</v>
      </c>
    </row>
    <row r="317" spans="1:14" hidden="1" x14ac:dyDescent="0.3">
      <c r="A317" s="13" t="str">
        <f>RAW_DATA!A326</f>
        <v>ORD-0325</v>
      </c>
      <c r="B317" s="14">
        <v>45153</v>
      </c>
      <c r="C317" s="14">
        <v>45156</v>
      </c>
      <c r="D317" s="15" t="s">
        <v>572</v>
      </c>
      <c r="E317" s="15" t="s">
        <v>574</v>
      </c>
      <c r="F317" s="20">
        <f>RAW_DATA!F326</f>
        <v>0</v>
      </c>
      <c r="G317" s="15">
        <f>RAW_DATA!G326</f>
        <v>157</v>
      </c>
      <c r="H317" s="15">
        <f>RAW_DATA!H326</f>
        <v>157</v>
      </c>
      <c r="I317" s="23">
        <f>RAW_DATA!I326</f>
        <v>9.3000000000000007</v>
      </c>
      <c r="J317" s="23">
        <f>RAW_DATA!J326</f>
        <v>5.28</v>
      </c>
      <c r="K317" s="15">
        <f>RAW_DATA!K326</f>
        <v>5</v>
      </c>
      <c r="L317" s="23">
        <f>RAW_DATA!L326</f>
        <v>965.76</v>
      </c>
      <c r="M317" s="15">
        <f t="shared" si="8"/>
        <v>3</v>
      </c>
      <c r="N317" s="15" t="str">
        <f t="shared" si="9"/>
        <v>On Time</v>
      </c>
    </row>
    <row r="318" spans="1:14" hidden="1" x14ac:dyDescent="0.3">
      <c r="A318" s="16" t="str">
        <f>RAW_DATA!A327</f>
        <v>ORD-0326</v>
      </c>
      <c r="B318" s="17">
        <v>45118</v>
      </c>
      <c r="C318" s="17">
        <v>45120</v>
      </c>
      <c r="D318" s="18" t="s">
        <v>571</v>
      </c>
      <c r="E318" s="18" t="s">
        <v>576</v>
      </c>
      <c r="F318" s="18" t="str">
        <f>RAW_DATA!F327</f>
        <v>WH-E</v>
      </c>
      <c r="G318" s="18">
        <f>RAW_DATA!G327</f>
        <v>53</v>
      </c>
      <c r="H318" s="18">
        <f>RAW_DATA!H327</f>
        <v>53</v>
      </c>
      <c r="I318" s="24">
        <f>RAW_DATA!I327</f>
        <v>22.08</v>
      </c>
      <c r="J318" s="24">
        <f>RAW_DATA!J327</f>
        <v>12.74</v>
      </c>
      <c r="K318" s="18">
        <f>RAW_DATA!K327</f>
        <v>4</v>
      </c>
      <c r="L318" s="24">
        <f>RAW_DATA!L327</f>
        <v>952.58</v>
      </c>
      <c r="M318" s="18">
        <f t="shared" si="8"/>
        <v>2</v>
      </c>
      <c r="N318" s="18" t="str">
        <f t="shared" si="9"/>
        <v>On Time</v>
      </c>
    </row>
    <row r="319" spans="1:14" hidden="1" x14ac:dyDescent="0.3">
      <c r="A319" s="13" t="str">
        <f>RAW_DATA!A328</f>
        <v>ORD-0327</v>
      </c>
      <c r="B319" s="14">
        <v>45029</v>
      </c>
      <c r="C319" s="14">
        <v>45034</v>
      </c>
      <c r="D319" s="15" t="s">
        <v>578</v>
      </c>
      <c r="E319" s="15" t="s">
        <v>574</v>
      </c>
      <c r="F319" s="15" t="str">
        <f>RAW_DATA!F328</f>
        <v>WH-B</v>
      </c>
      <c r="G319" s="15">
        <f>RAW_DATA!G328</f>
        <v>36</v>
      </c>
      <c r="H319" s="15">
        <f>RAW_DATA!H328</f>
        <v>36</v>
      </c>
      <c r="I319" s="23" t="str">
        <f>RAW_DATA!I328</f>
        <v>$10.81</v>
      </c>
      <c r="J319" s="23">
        <f>RAW_DATA!J328</f>
        <v>7.47</v>
      </c>
      <c r="K319" s="15">
        <f>RAW_DATA!K328</f>
        <v>3</v>
      </c>
      <c r="L319" s="23">
        <f>RAW_DATA!L328</f>
        <v>286.23</v>
      </c>
      <c r="M319" s="15">
        <f t="shared" si="8"/>
        <v>5</v>
      </c>
      <c r="N319" s="15" t="str">
        <f t="shared" si="9"/>
        <v>Late</v>
      </c>
    </row>
    <row r="320" spans="1:14" x14ac:dyDescent="0.3">
      <c r="A320" s="16" t="str">
        <f>RAW_DATA!A329</f>
        <v>ORD-0328</v>
      </c>
      <c r="B320" s="17">
        <v>45252</v>
      </c>
      <c r="C320" s="17">
        <v>45258</v>
      </c>
      <c r="D320" s="18" t="s">
        <v>570</v>
      </c>
      <c r="E320" s="18" t="s">
        <v>577</v>
      </c>
      <c r="F320" s="18" t="str">
        <f>RAW_DATA!F329</f>
        <v>WH-D</v>
      </c>
      <c r="G320" s="18">
        <f>RAW_DATA!G329</f>
        <v>35</v>
      </c>
      <c r="H320" s="18">
        <f>RAW_DATA!H329</f>
        <v>35</v>
      </c>
      <c r="I320" s="24" t="str">
        <f>RAW_DATA!I329</f>
        <v>$6.56</v>
      </c>
      <c r="J320" s="24">
        <f>RAW_DATA!J329</f>
        <v>4.1900000000000004</v>
      </c>
      <c r="K320" s="18">
        <f>RAW_DATA!K329</f>
        <v>7</v>
      </c>
      <c r="L320" s="24">
        <f>RAW_DATA!L329</f>
        <v>216.5</v>
      </c>
      <c r="M320" s="18">
        <f t="shared" si="8"/>
        <v>6</v>
      </c>
      <c r="N320" s="18" t="str">
        <f t="shared" si="9"/>
        <v>On Time</v>
      </c>
    </row>
    <row r="321" spans="1:14" x14ac:dyDescent="0.3">
      <c r="A321" s="13" t="str">
        <f>RAW_DATA!A330</f>
        <v>ORD-0329</v>
      </c>
      <c r="B321" s="14">
        <v>45106</v>
      </c>
      <c r="C321" s="14">
        <v>45113</v>
      </c>
      <c r="D321" s="15" t="s">
        <v>570</v>
      </c>
      <c r="E321" s="15" t="s">
        <v>577</v>
      </c>
      <c r="F321" s="15" t="str">
        <f>RAW_DATA!F330</f>
        <v>WH-E</v>
      </c>
      <c r="G321" s="15">
        <f>RAW_DATA!G330</f>
        <v>152</v>
      </c>
      <c r="H321" s="15">
        <f>RAW_DATA!H330</f>
        <v>152</v>
      </c>
      <c r="I321" s="23">
        <f>RAW_DATA!I330</f>
        <v>7.28</v>
      </c>
      <c r="J321" s="23">
        <f>RAW_DATA!J330</f>
        <v>4.42</v>
      </c>
      <c r="K321" s="15">
        <f>RAW_DATA!K330</f>
        <v>7</v>
      </c>
      <c r="L321" s="23">
        <f>RAW_DATA!L330</f>
        <v>760.48</v>
      </c>
      <c r="M321" s="15">
        <f t="shared" si="8"/>
        <v>7</v>
      </c>
      <c r="N321" s="15" t="str">
        <f t="shared" si="9"/>
        <v>On Time</v>
      </c>
    </row>
    <row r="322" spans="1:14" hidden="1" x14ac:dyDescent="0.3">
      <c r="A322" s="16" t="str">
        <f>RAW_DATA!A331</f>
        <v>ORD-0330</v>
      </c>
      <c r="B322" s="17">
        <v>45040</v>
      </c>
      <c r="C322" s="17">
        <v>45041</v>
      </c>
      <c r="D322" s="18" t="s">
        <v>198</v>
      </c>
      <c r="E322" s="18" t="s">
        <v>577</v>
      </c>
      <c r="F322" s="18" t="str">
        <f>RAW_DATA!F331</f>
        <v>WH-B</v>
      </c>
      <c r="G322" s="18">
        <f>RAW_DATA!G331</f>
        <v>157</v>
      </c>
      <c r="H322" s="18">
        <f>RAW_DATA!H331</f>
        <v>157</v>
      </c>
      <c r="I322" s="24">
        <f>RAW_DATA!I331</f>
        <v>6.65</v>
      </c>
      <c r="J322" s="24">
        <f>RAW_DATA!J331</f>
        <v>4.8099999999999996</v>
      </c>
      <c r="K322" s="18">
        <f>RAW_DATA!K331</f>
        <v>2</v>
      </c>
      <c r="L322" s="24">
        <f>RAW_DATA!L331</f>
        <v>1117.8699999999999</v>
      </c>
      <c r="M322" s="18">
        <f t="shared" si="8"/>
        <v>1</v>
      </c>
      <c r="N322" s="18" t="str">
        <f t="shared" si="9"/>
        <v>On Time</v>
      </c>
    </row>
    <row r="323" spans="1:14" hidden="1" x14ac:dyDescent="0.3">
      <c r="A323" s="13" t="str">
        <f>RAW_DATA!A332</f>
        <v>ORD-0331</v>
      </c>
      <c r="B323" s="14">
        <v>45258</v>
      </c>
      <c r="C323" s="14">
        <v>45259</v>
      </c>
      <c r="D323" s="15" t="s">
        <v>578</v>
      </c>
      <c r="E323" s="15" t="s">
        <v>576</v>
      </c>
      <c r="F323" s="15" t="str">
        <f>RAW_DATA!F332</f>
        <v>WH-B</v>
      </c>
      <c r="G323" s="15">
        <f>RAW_DATA!G332</f>
        <v>134</v>
      </c>
      <c r="H323" s="15">
        <f>RAW_DATA!H332</f>
        <v>134</v>
      </c>
      <c r="I323" s="23">
        <f>RAW_DATA!I332</f>
        <v>25.66</v>
      </c>
      <c r="J323" s="23">
        <f>RAW_DATA!J332</f>
        <v>15.68</v>
      </c>
      <c r="K323" s="15">
        <f>RAW_DATA!K332</f>
        <v>3</v>
      </c>
      <c r="L323" s="23">
        <f>RAW_DATA!L332</f>
        <v>3110.11</v>
      </c>
      <c r="M323" s="15">
        <f t="shared" ref="M323:M386" si="10">C323-B323</f>
        <v>1</v>
      </c>
      <c r="N323" s="15" t="str">
        <f t="shared" ref="N323:N386" si="11">IF(M323&lt;=K323,"On Time", "Late")</f>
        <v>On Time</v>
      </c>
    </row>
    <row r="324" spans="1:14" hidden="1" x14ac:dyDescent="0.3">
      <c r="A324" s="16" t="str">
        <f>RAW_DATA!A333</f>
        <v>ORD-0332</v>
      </c>
      <c r="B324" s="17">
        <v>45105</v>
      </c>
      <c r="C324" s="17">
        <v>45106</v>
      </c>
      <c r="D324" s="18" t="s">
        <v>579</v>
      </c>
      <c r="E324" s="18" t="s">
        <v>576</v>
      </c>
      <c r="F324" s="18" t="str">
        <f>RAW_DATA!F333</f>
        <v>WH-D</v>
      </c>
      <c r="G324" s="18">
        <f>RAW_DATA!G333</f>
        <v>258</v>
      </c>
      <c r="H324" s="18">
        <f>RAW_DATA!H333</f>
        <v>258</v>
      </c>
      <c r="I324" s="24">
        <f>RAW_DATA!I333</f>
        <v>22.25</v>
      </c>
      <c r="J324" s="24">
        <f>RAW_DATA!J333</f>
        <v>15.01</v>
      </c>
      <c r="K324" s="18">
        <f>RAW_DATA!K333</f>
        <v>3</v>
      </c>
      <c r="L324" s="24">
        <f>RAW_DATA!L333</f>
        <v>4843.41</v>
      </c>
      <c r="M324" s="18">
        <f t="shared" si="10"/>
        <v>1</v>
      </c>
      <c r="N324" s="18" t="str">
        <f t="shared" si="11"/>
        <v>On Time</v>
      </c>
    </row>
    <row r="325" spans="1:14" hidden="1" x14ac:dyDescent="0.3">
      <c r="A325" s="13" t="str">
        <f>RAW_DATA!A334</f>
        <v>ORD-0333</v>
      </c>
      <c r="B325" s="14">
        <v>45214</v>
      </c>
      <c r="C325" s="14">
        <v>45217</v>
      </c>
      <c r="D325" s="15" t="s">
        <v>578</v>
      </c>
      <c r="E325" s="15" t="s">
        <v>577</v>
      </c>
      <c r="F325" s="15" t="str">
        <f>RAW_DATA!F334</f>
        <v>WH-C</v>
      </c>
      <c r="G325" s="15">
        <f>RAW_DATA!G334</f>
        <v>164</v>
      </c>
      <c r="H325" s="15">
        <f>RAW_DATA!H334</f>
        <v>164</v>
      </c>
      <c r="I325" s="23">
        <f>RAW_DATA!I334</f>
        <v>5.19</v>
      </c>
      <c r="J325" s="23">
        <f>RAW_DATA!J334</f>
        <v>2.92</v>
      </c>
      <c r="K325" s="15">
        <f>RAW_DATA!K334</f>
        <v>3</v>
      </c>
      <c r="L325" s="23">
        <f>RAW_DATA!L334</f>
        <v>714.98</v>
      </c>
      <c r="M325" s="15">
        <f t="shared" si="10"/>
        <v>3</v>
      </c>
      <c r="N325" s="15" t="str">
        <f t="shared" si="11"/>
        <v>On Time</v>
      </c>
    </row>
    <row r="326" spans="1:14" hidden="1" x14ac:dyDescent="0.3">
      <c r="A326" s="16" t="str">
        <f>RAW_DATA!A335</f>
        <v>ORD-0334</v>
      </c>
      <c r="B326" s="17">
        <v>45262</v>
      </c>
      <c r="C326" s="17">
        <v>45268</v>
      </c>
      <c r="D326" s="18" t="s">
        <v>211</v>
      </c>
      <c r="E326" s="18" t="s">
        <v>575</v>
      </c>
      <c r="F326" s="18" t="str">
        <f>RAW_DATA!F335</f>
        <v>WH-C</v>
      </c>
      <c r="G326" s="18">
        <f>RAW_DATA!G335</f>
        <v>172</v>
      </c>
      <c r="H326" s="18">
        <f>RAW_DATA!H335</f>
        <v>172</v>
      </c>
      <c r="I326" s="24">
        <f>RAW_DATA!I335</f>
        <v>16.66</v>
      </c>
      <c r="J326" s="24">
        <f>RAW_DATA!J335</f>
        <v>9.9600000000000009</v>
      </c>
      <c r="K326" s="18">
        <f>RAW_DATA!K335</f>
        <v>6</v>
      </c>
      <c r="L326" s="24">
        <f>RAW_DATA!L335</f>
        <v>1600.17</v>
      </c>
      <c r="M326" s="18">
        <f t="shared" si="10"/>
        <v>6</v>
      </c>
      <c r="N326" s="18" t="str">
        <f t="shared" si="11"/>
        <v>On Time</v>
      </c>
    </row>
    <row r="327" spans="1:14" hidden="1" x14ac:dyDescent="0.3">
      <c r="A327" s="13" t="str">
        <f>RAW_DATA!A336</f>
        <v>ORD-0335</v>
      </c>
      <c r="B327" s="14">
        <v>44940</v>
      </c>
      <c r="C327" s="14">
        <v>44943</v>
      </c>
      <c r="D327" s="15" t="s">
        <v>571</v>
      </c>
      <c r="E327" s="15" t="s">
        <v>575</v>
      </c>
      <c r="F327" s="15" t="str">
        <f>RAW_DATA!F336</f>
        <v>WH-B</v>
      </c>
      <c r="G327" s="15">
        <f>RAW_DATA!G336</f>
        <v>152</v>
      </c>
      <c r="H327" s="15">
        <f>RAW_DATA!H336</f>
        <v>152</v>
      </c>
      <c r="I327" s="23">
        <f>RAW_DATA!I336</f>
        <v>15.64</v>
      </c>
      <c r="J327" s="23">
        <f>RAW_DATA!J336</f>
        <v>10.91</v>
      </c>
      <c r="K327" s="15">
        <f>RAW_DATA!K336</f>
        <v>4</v>
      </c>
      <c r="L327" s="23">
        <f>RAW_DATA!L336</f>
        <v>2072.59</v>
      </c>
      <c r="M327" s="15">
        <f t="shared" si="10"/>
        <v>3</v>
      </c>
      <c r="N327" s="15" t="str">
        <f t="shared" si="11"/>
        <v>On Time</v>
      </c>
    </row>
    <row r="328" spans="1:14" hidden="1" x14ac:dyDescent="0.3">
      <c r="A328" s="16" t="str">
        <f>RAW_DATA!A337</f>
        <v>ORD-0336</v>
      </c>
      <c r="B328" s="17">
        <v>45278</v>
      </c>
      <c r="C328" s="17">
        <v>45282</v>
      </c>
      <c r="D328" s="18" t="s">
        <v>572</v>
      </c>
      <c r="E328" s="18" t="s">
        <v>575</v>
      </c>
      <c r="F328" s="18" t="str">
        <f>RAW_DATA!F337</f>
        <v>WH-B</v>
      </c>
      <c r="G328" s="18">
        <f>RAW_DATA!G337</f>
        <v>363</v>
      </c>
      <c r="H328" s="18">
        <f>RAW_DATA!H337</f>
        <v>363</v>
      </c>
      <c r="I328" s="24">
        <f>RAW_DATA!I337</f>
        <v>14.7</v>
      </c>
      <c r="J328" s="24">
        <f>RAW_DATA!J337</f>
        <v>8.58</v>
      </c>
      <c r="K328" s="18">
        <f>RAW_DATA!K337</f>
        <v>5</v>
      </c>
      <c r="L328" s="24">
        <f>RAW_DATA!L337</f>
        <v>4031.99</v>
      </c>
      <c r="M328" s="18">
        <f t="shared" si="10"/>
        <v>4</v>
      </c>
      <c r="N328" s="18" t="str">
        <f t="shared" si="11"/>
        <v>On Time</v>
      </c>
    </row>
    <row r="329" spans="1:14" hidden="1" x14ac:dyDescent="0.3">
      <c r="A329" s="13" t="str">
        <f>RAW_DATA!A338</f>
        <v>ORD-0337</v>
      </c>
      <c r="B329" s="14">
        <v>45168</v>
      </c>
      <c r="C329" s="14">
        <v>45170</v>
      </c>
      <c r="D329" s="15" t="s">
        <v>198</v>
      </c>
      <c r="E329" s="15" t="s">
        <v>575</v>
      </c>
      <c r="F329" s="15" t="str">
        <f>RAW_DATA!F338</f>
        <v>WH-A</v>
      </c>
      <c r="G329" s="15">
        <f>RAW_DATA!G338</f>
        <v>391</v>
      </c>
      <c r="H329" s="15">
        <f>RAW_DATA!H338</f>
        <v>391</v>
      </c>
      <c r="I329" s="23">
        <f>RAW_DATA!I338</f>
        <v>18.87</v>
      </c>
      <c r="J329" s="23">
        <f>RAW_DATA!J338</f>
        <v>11.07</v>
      </c>
      <c r="K329" s="15">
        <f>RAW_DATA!K338</f>
        <v>2</v>
      </c>
      <c r="L329" s="23">
        <f>RAW_DATA!L338</f>
        <v>5660.76</v>
      </c>
      <c r="M329" s="15">
        <f t="shared" si="10"/>
        <v>2</v>
      </c>
      <c r="N329" s="15" t="str">
        <f t="shared" si="11"/>
        <v>On Time</v>
      </c>
    </row>
    <row r="330" spans="1:14" hidden="1" x14ac:dyDescent="0.3">
      <c r="A330" s="16" t="str">
        <f>RAW_DATA!A339</f>
        <v>ORD-0338</v>
      </c>
      <c r="B330" s="17">
        <v>45108</v>
      </c>
      <c r="C330" s="17">
        <v>45111</v>
      </c>
      <c r="D330" s="18" t="s">
        <v>211</v>
      </c>
      <c r="E330" s="18" t="s">
        <v>573</v>
      </c>
      <c r="F330" s="18" t="str">
        <f>RAW_DATA!F339</f>
        <v>WH-B</v>
      </c>
      <c r="G330" s="18">
        <f>RAW_DATA!G339</f>
        <v>235</v>
      </c>
      <c r="H330" s="18">
        <f>RAW_DATA!H339</f>
        <v>235</v>
      </c>
      <c r="I330" s="24">
        <f>RAW_DATA!I339</f>
        <v>11.99</v>
      </c>
      <c r="J330" s="24">
        <f>RAW_DATA!J339</f>
        <v>7.22</v>
      </c>
      <c r="K330" s="18">
        <f>RAW_DATA!K339</f>
        <v>6</v>
      </c>
      <c r="L330" s="24">
        <f>RAW_DATA!L339</f>
        <v>1826.38</v>
      </c>
      <c r="M330" s="18">
        <f t="shared" si="10"/>
        <v>3</v>
      </c>
      <c r="N330" s="18" t="str">
        <f t="shared" si="11"/>
        <v>On Time</v>
      </c>
    </row>
    <row r="331" spans="1:14" hidden="1" x14ac:dyDescent="0.3">
      <c r="A331" s="13" t="str">
        <f>RAW_DATA!A340</f>
        <v>ORD-0339</v>
      </c>
      <c r="B331" s="14">
        <v>45251</v>
      </c>
      <c r="C331" s="14">
        <v>45252</v>
      </c>
      <c r="D331" s="15" t="s">
        <v>569</v>
      </c>
      <c r="E331" s="15" t="s">
        <v>576</v>
      </c>
      <c r="F331" s="15" t="str">
        <f>RAW_DATA!F340</f>
        <v>WH-A</v>
      </c>
      <c r="G331" s="15">
        <f>RAW_DATA!G340</f>
        <v>261</v>
      </c>
      <c r="H331" s="15">
        <f>RAW_DATA!H340</f>
        <v>261</v>
      </c>
      <c r="I331" s="23">
        <f>RAW_DATA!I340</f>
        <v>22.01</v>
      </c>
      <c r="J331" s="23">
        <f>RAW_DATA!J340</f>
        <v>15.92</v>
      </c>
      <c r="K331" s="15">
        <f>RAW_DATA!K340</f>
        <v>4</v>
      </c>
      <c r="L331" s="23">
        <f>RAW_DATA!L340</f>
        <v>4691.1400000000003</v>
      </c>
      <c r="M331" s="15">
        <f t="shared" si="10"/>
        <v>1</v>
      </c>
      <c r="N331" s="15" t="str">
        <f t="shared" si="11"/>
        <v>On Time</v>
      </c>
    </row>
    <row r="332" spans="1:14" hidden="1" x14ac:dyDescent="0.3">
      <c r="A332" s="16" t="str">
        <f>RAW_DATA!A341</f>
        <v>ORD-0340</v>
      </c>
      <c r="B332" s="17">
        <v>45004</v>
      </c>
      <c r="C332" s="17">
        <v>45005</v>
      </c>
      <c r="D332" s="18" t="s">
        <v>579</v>
      </c>
      <c r="E332" s="18" t="s">
        <v>576</v>
      </c>
      <c r="F332" s="18" t="str">
        <f>RAW_DATA!F341</f>
        <v>WH-A</v>
      </c>
      <c r="G332" s="18">
        <f>RAW_DATA!G341</f>
        <v>195</v>
      </c>
      <c r="H332" s="18">
        <f>RAW_DATA!H341</f>
        <v>195</v>
      </c>
      <c r="I332" s="24">
        <f>RAW_DATA!I341</f>
        <v>22.83</v>
      </c>
      <c r="J332" s="24">
        <f>RAW_DATA!J341</f>
        <v>16.7</v>
      </c>
      <c r="K332" s="18">
        <f>RAW_DATA!K341</f>
        <v>3</v>
      </c>
      <c r="L332" s="24">
        <f>RAW_DATA!L341</f>
        <v>3824.9</v>
      </c>
      <c r="M332" s="18">
        <f t="shared" si="10"/>
        <v>1</v>
      </c>
      <c r="N332" s="18" t="str">
        <f t="shared" si="11"/>
        <v>On Time</v>
      </c>
    </row>
    <row r="333" spans="1:14" hidden="1" x14ac:dyDescent="0.3">
      <c r="A333" s="13" t="str">
        <f>RAW_DATA!A342</f>
        <v>ORD-0341</v>
      </c>
      <c r="B333" s="14">
        <v>45176</v>
      </c>
      <c r="C333" s="14">
        <v>45178</v>
      </c>
      <c r="D333" s="15" t="s">
        <v>211</v>
      </c>
      <c r="E333" s="15" t="s">
        <v>574</v>
      </c>
      <c r="F333" s="15" t="str">
        <f>RAW_DATA!F342</f>
        <v>WH-A</v>
      </c>
      <c r="G333" s="15">
        <f>RAW_DATA!G342</f>
        <v>180</v>
      </c>
      <c r="H333" s="15">
        <f>RAW_DATA!H342</f>
        <v>180</v>
      </c>
      <c r="I333" s="23">
        <f>RAW_DATA!I342</f>
        <v>6.42</v>
      </c>
      <c r="J333" s="23">
        <f>RAW_DATA!J342</f>
        <v>3.88</v>
      </c>
      <c r="K333" s="15">
        <f>RAW_DATA!K342</f>
        <v>6</v>
      </c>
      <c r="L333" s="23">
        <f>RAW_DATA!L342</f>
        <v>947.53</v>
      </c>
      <c r="M333" s="15">
        <f t="shared" si="10"/>
        <v>2</v>
      </c>
      <c r="N333" s="15" t="str">
        <f t="shared" si="11"/>
        <v>On Time</v>
      </c>
    </row>
    <row r="334" spans="1:14" hidden="1" x14ac:dyDescent="0.3">
      <c r="A334" s="16" t="str">
        <f>RAW_DATA!A343</f>
        <v>ORD-0342</v>
      </c>
      <c r="B334" s="17">
        <v>45177</v>
      </c>
      <c r="C334" s="17">
        <v>45178</v>
      </c>
      <c r="D334" s="18" t="s">
        <v>198</v>
      </c>
      <c r="E334" s="18" t="s">
        <v>577</v>
      </c>
      <c r="F334" s="18" t="str">
        <f>RAW_DATA!F343</f>
        <v>WH-B</v>
      </c>
      <c r="G334" s="18">
        <f>RAW_DATA!G343</f>
        <v>86</v>
      </c>
      <c r="H334" s="18">
        <f>RAW_DATA!H343</f>
        <v>86</v>
      </c>
      <c r="I334" s="24">
        <f>RAW_DATA!I343</f>
        <v>7.08</v>
      </c>
      <c r="J334" s="24">
        <f>RAW_DATA!J343</f>
        <v>4.47</v>
      </c>
      <c r="K334" s="18">
        <f>RAW_DATA!K343</f>
        <v>2</v>
      </c>
      <c r="L334" s="24">
        <f>RAW_DATA!L343</f>
        <v>568.63</v>
      </c>
      <c r="M334" s="18">
        <f t="shared" si="10"/>
        <v>1</v>
      </c>
      <c r="N334" s="18" t="str">
        <f t="shared" si="11"/>
        <v>On Time</v>
      </c>
    </row>
    <row r="335" spans="1:14" hidden="1" x14ac:dyDescent="0.3">
      <c r="A335" s="13" t="str">
        <f>RAW_DATA!A344</f>
        <v>ORD-0343</v>
      </c>
      <c r="B335" s="14">
        <v>45200</v>
      </c>
      <c r="C335" s="14">
        <v>45203</v>
      </c>
      <c r="D335" s="15" t="s">
        <v>571</v>
      </c>
      <c r="E335" s="15" t="s">
        <v>573</v>
      </c>
      <c r="F335" s="15" t="str">
        <f>RAW_DATA!F344</f>
        <v>WH-A</v>
      </c>
      <c r="G335" s="15">
        <f>RAW_DATA!G344</f>
        <v>27</v>
      </c>
      <c r="H335" s="15">
        <f>RAW_DATA!H344</f>
        <v>27</v>
      </c>
      <c r="I335" s="23">
        <f>RAW_DATA!I344</f>
        <v>15.05</v>
      </c>
      <c r="J335" s="23">
        <f>RAW_DATA!J344</f>
        <v>9.8800000000000008</v>
      </c>
      <c r="K335" s="15">
        <f>RAW_DATA!K344</f>
        <v>4</v>
      </c>
      <c r="L335" s="23">
        <f>RAW_DATA!L344</f>
        <v>242.95</v>
      </c>
      <c r="M335" s="15">
        <f t="shared" si="10"/>
        <v>3</v>
      </c>
      <c r="N335" s="15" t="str">
        <f t="shared" si="11"/>
        <v>On Time</v>
      </c>
    </row>
    <row r="336" spans="1:14" hidden="1" x14ac:dyDescent="0.3">
      <c r="A336" s="16" t="str">
        <f>RAW_DATA!A345</f>
        <v>ORD-0344</v>
      </c>
      <c r="B336" s="17">
        <v>45282</v>
      </c>
      <c r="C336" s="17">
        <v>45288</v>
      </c>
      <c r="D336" s="15" t="s">
        <v>578</v>
      </c>
      <c r="E336" s="18" t="s">
        <v>574</v>
      </c>
      <c r="F336" s="18" t="str">
        <f>RAW_DATA!F345</f>
        <v>WH-B</v>
      </c>
      <c r="G336" s="18">
        <f>RAW_DATA!G345</f>
        <v>86</v>
      </c>
      <c r="H336" s="18">
        <f>RAW_DATA!H345</f>
        <v>86</v>
      </c>
      <c r="I336" s="24">
        <f>RAW_DATA!I345</f>
        <v>8.82</v>
      </c>
      <c r="J336" s="24">
        <f>RAW_DATA!J345</f>
        <v>5.39</v>
      </c>
      <c r="K336" s="18">
        <f>RAW_DATA!K345</f>
        <v>3</v>
      </c>
      <c r="L336" s="24">
        <f>RAW_DATA!L345</f>
        <v>435.34</v>
      </c>
      <c r="M336" s="18">
        <f t="shared" si="10"/>
        <v>6</v>
      </c>
      <c r="N336" s="18" t="str">
        <f t="shared" si="11"/>
        <v>Late</v>
      </c>
    </row>
    <row r="337" spans="1:14" hidden="1" x14ac:dyDescent="0.3">
      <c r="A337" s="13" t="str">
        <f>RAW_DATA!A346</f>
        <v>ORD-0345</v>
      </c>
      <c r="B337" s="14">
        <v>45160</v>
      </c>
      <c r="C337" s="14">
        <v>45168</v>
      </c>
      <c r="D337" s="15" t="s">
        <v>578</v>
      </c>
      <c r="E337" s="15" t="s">
        <v>575</v>
      </c>
      <c r="F337" s="15" t="str">
        <f>RAW_DATA!F346</f>
        <v>WH-C</v>
      </c>
      <c r="G337" s="15">
        <f>RAW_DATA!G346</f>
        <v>288</v>
      </c>
      <c r="H337" s="15">
        <f>RAW_DATA!H346</f>
        <v>288</v>
      </c>
      <c r="I337" s="23">
        <f>RAW_DATA!I346</f>
        <v>19.989999999999998</v>
      </c>
      <c r="J337" s="23">
        <f>RAW_DATA!J346</f>
        <v>14.97</v>
      </c>
      <c r="K337" s="15">
        <f>RAW_DATA!K346</f>
        <v>3</v>
      </c>
      <c r="L337" s="23">
        <f>RAW_DATA!L346</f>
        <v>4766.8100000000004</v>
      </c>
      <c r="M337" s="15">
        <f t="shared" si="10"/>
        <v>8</v>
      </c>
      <c r="N337" s="15" t="str">
        <f t="shared" si="11"/>
        <v>Late</v>
      </c>
    </row>
    <row r="338" spans="1:14" x14ac:dyDescent="0.3">
      <c r="A338" s="16" t="str">
        <f>RAW_DATA!A347</f>
        <v>ORD-0346</v>
      </c>
      <c r="B338" s="17">
        <v>45011</v>
      </c>
      <c r="C338" s="17">
        <v>45018</v>
      </c>
      <c r="D338" s="18" t="s">
        <v>570</v>
      </c>
      <c r="E338" s="18" t="s">
        <v>575</v>
      </c>
      <c r="F338" s="18" t="str">
        <f>RAW_DATA!F347</f>
        <v>WH-B</v>
      </c>
      <c r="G338" s="18">
        <f>RAW_DATA!G347</f>
        <v>226</v>
      </c>
      <c r="H338" s="18">
        <f>RAW_DATA!H347</f>
        <v>186</v>
      </c>
      <c r="I338" s="24">
        <f>RAW_DATA!I347</f>
        <v>18.54</v>
      </c>
      <c r="J338" s="24">
        <f>RAW_DATA!J347</f>
        <v>10.68</v>
      </c>
      <c r="K338" s="18">
        <f>RAW_DATA!K347</f>
        <v>7</v>
      </c>
      <c r="L338" s="24">
        <f>RAW_DATA!L347</f>
        <v>3235.41</v>
      </c>
      <c r="M338" s="18">
        <f t="shared" si="10"/>
        <v>7</v>
      </c>
      <c r="N338" s="18" t="str">
        <f t="shared" si="11"/>
        <v>On Time</v>
      </c>
    </row>
    <row r="339" spans="1:14" hidden="1" x14ac:dyDescent="0.3">
      <c r="A339" s="13" t="str">
        <f>RAW_DATA!A348</f>
        <v>ORD-0347</v>
      </c>
      <c r="B339" s="14">
        <v>45291</v>
      </c>
      <c r="C339" s="14">
        <v>45292</v>
      </c>
      <c r="D339" s="15" t="s">
        <v>198</v>
      </c>
      <c r="E339" s="15" t="s">
        <v>573</v>
      </c>
      <c r="F339" s="15" t="str">
        <f>RAW_DATA!F348</f>
        <v>WH-C</v>
      </c>
      <c r="G339" s="15">
        <f>RAW_DATA!G348</f>
        <v>212</v>
      </c>
      <c r="H339" s="15">
        <f>RAW_DATA!H348</f>
        <v>212</v>
      </c>
      <c r="I339" s="23">
        <f>RAW_DATA!I348</f>
        <v>11.44</v>
      </c>
      <c r="J339" s="23">
        <f>RAW_DATA!J348</f>
        <v>7.52</v>
      </c>
      <c r="K339" s="15">
        <f>RAW_DATA!K348</f>
        <v>2</v>
      </c>
      <c r="L339" s="23">
        <f>RAW_DATA!L348</f>
        <v>1481.29</v>
      </c>
      <c r="M339" s="15">
        <f t="shared" si="10"/>
        <v>1</v>
      </c>
      <c r="N339" s="15" t="str">
        <f t="shared" si="11"/>
        <v>On Time</v>
      </c>
    </row>
    <row r="340" spans="1:14" hidden="1" x14ac:dyDescent="0.3">
      <c r="A340" s="16" t="str">
        <f>RAW_DATA!A349</f>
        <v>ORD-0348</v>
      </c>
      <c r="B340" s="17">
        <v>44951</v>
      </c>
      <c r="C340" s="17">
        <v>44953</v>
      </c>
      <c r="D340" s="15" t="s">
        <v>578</v>
      </c>
      <c r="E340" s="18" t="s">
        <v>573</v>
      </c>
      <c r="F340" s="18" t="str">
        <f>RAW_DATA!F349</f>
        <v>WH-A</v>
      </c>
      <c r="G340" s="18">
        <f>RAW_DATA!G349</f>
        <v>247</v>
      </c>
      <c r="H340" s="18">
        <f>RAW_DATA!H349</f>
        <v>247</v>
      </c>
      <c r="I340" s="24">
        <f>RAW_DATA!I349</f>
        <v>13.54</v>
      </c>
      <c r="J340" s="24">
        <f>RAW_DATA!J349</f>
        <v>8.73</v>
      </c>
      <c r="K340" s="18">
        <f>RAW_DATA!K349</f>
        <v>3</v>
      </c>
      <c r="L340" s="24">
        <f>RAW_DATA!L349</f>
        <v>2138.79</v>
      </c>
      <c r="M340" s="18">
        <f t="shared" si="10"/>
        <v>2</v>
      </c>
      <c r="N340" s="18" t="str">
        <f t="shared" si="11"/>
        <v>On Time</v>
      </c>
    </row>
    <row r="341" spans="1:14" hidden="1" x14ac:dyDescent="0.3">
      <c r="A341" s="13" t="str">
        <f>RAW_DATA!A350</f>
        <v>ORD-0349</v>
      </c>
      <c r="B341" s="14">
        <v>45265</v>
      </c>
      <c r="C341" s="14">
        <v>45268</v>
      </c>
      <c r="D341" s="15" t="s">
        <v>578</v>
      </c>
      <c r="E341" s="15" t="s">
        <v>575</v>
      </c>
      <c r="F341" s="15" t="str">
        <f>RAW_DATA!F350</f>
        <v>WH-D</v>
      </c>
      <c r="G341" s="15">
        <f>RAW_DATA!G350</f>
        <v>158</v>
      </c>
      <c r="H341" s="15">
        <f>RAW_DATA!H350</f>
        <v>158</v>
      </c>
      <c r="I341" s="23">
        <f>RAW_DATA!I350</f>
        <v>18.309999999999999</v>
      </c>
      <c r="J341" s="23">
        <f>RAW_DATA!J350</f>
        <v>11.6</v>
      </c>
      <c r="K341" s="15">
        <f>RAW_DATA!K350</f>
        <v>3</v>
      </c>
      <c r="L341" s="23">
        <f>RAW_DATA!L350</f>
        <v>2637.72</v>
      </c>
      <c r="M341" s="15">
        <f t="shared" si="10"/>
        <v>3</v>
      </c>
      <c r="N341" s="15" t="str">
        <f t="shared" si="11"/>
        <v>On Time</v>
      </c>
    </row>
    <row r="342" spans="1:14" hidden="1" x14ac:dyDescent="0.3">
      <c r="A342" s="16" t="str">
        <f>RAW_DATA!A351</f>
        <v>ORD-0350</v>
      </c>
      <c r="B342" s="17">
        <v>44981</v>
      </c>
      <c r="C342" s="17">
        <v>44983</v>
      </c>
      <c r="D342" s="18" t="s">
        <v>569</v>
      </c>
      <c r="E342" s="18" t="s">
        <v>575</v>
      </c>
      <c r="F342" s="18" t="str">
        <f>RAW_DATA!F351</f>
        <v>WH-A</v>
      </c>
      <c r="G342" s="18">
        <f>RAW_DATA!G351</f>
        <v>154</v>
      </c>
      <c r="H342" s="18">
        <f>RAW_DATA!H351</f>
        <v>154</v>
      </c>
      <c r="I342" s="24">
        <f>RAW_DATA!I351</f>
        <v>20.76</v>
      </c>
      <c r="J342" s="24">
        <f>RAW_DATA!J351</f>
        <v>12.9</v>
      </c>
      <c r="K342" s="18">
        <f>RAW_DATA!K351</f>
        <v>4</v>
      </c>
      <c r="L342" s="24">
        <f>RAW_DATA!L351</f>
        <v>2276.35</v>
      </c>
      <c r="M342" s="18">
        <f t="shared" si="10"/>
        <v>2</v>
      </c>
      <c r="N342" s="18" t="str">
        <f t="shared" si="11"/>
        <v>On Time</v>
      </c>
    </row>
    <row r="343" spans="1:14" hidden="1" x14ac:dyDescent="0.3">
      <c r="A343" s="13" t="str">
        <f>RAW_DATA!A352</f>
        <v>ORD-0351</v>
      </c>
      <c r="B343" s="14">
        <v>45181</v>
      </c>
      <c r="C343" s="14">
        <v>45183</v>
      </c>
      <c r="D343" s="15" t="s">
        <v>198</v>
      </c>
      <c r="E343" s="15" t="s">
        <v>573</v>
      </c>
      <c r="F343" s="15" t="str">
        <f>RAW_DATA!F352</f>
        <v>WH-E</v>
      </c>
      <c r="G343" s="15">
        <f>RAW_DATA!G352</f>
        <v>189</v>
      </c>
      <c r="H343" s="15">
        <f>RAW_DATA!H352</f>
        <v>189</v>
      </c>
      <c r="I343" s="23">
        <f>RAW_DATA!I352</f>
        <v>9.69</v>
      </c>
      <c r="J343" s="23">
        <f>RAW_DATA!J352</f>
        <v>5.5</v>
      </c>
      <c r="K343" s="15">
        <f>RAW_DATA!K352</f>
        <v>2</v>
      </c>
      <c r="L343" s="23">
        <f>RAW_DATA!L352</f>
        <v>1004.43</v>
      </c>
      <c r="M343" s="15">
        <f t="shared" si="10"/>
        <v>2</v>
      </c>
      <c r="N343" s="15" t="str">
        <f t="shared" si="11"/>
        <v>On Time</v>
      </c>
    </row>
    <row r="344" spans="1:14" x14ac:dyDescent="0.3">
      <c r="A344" s="16" t="str">
        <f>RAW_DATA!A353</f>
        <v>ORD-0352</v>
      </c>
      <c r="B344" s="17">
        <v>45188</v>
      </c>
      <c r="C344" s="17">
        <v>45194</v>
      </c>
      <c r="D344" s="18" t="s">
        <v>570</v>
      </c>
      <c r="E344" s="18" t="s">
        <v>574</v>
      </c>
      <c r="F344" s="18" t="str">
        <f>RAW_DATA!F353</f>
        <v>WH-A</v>
      </c>
      <c r="G344" s="18">
        <f>RAW_DATA!G353</f>
        <v>71</v>
      </c>
      <c r="H344" s="18">
        <f>RAW_DATA!H353</f>
        <v>71</v>
      </c>
      <c r="I344" s="24">
        <f>RAW_DATA!I353</f>
        <v>9.49</v>
      </c>
      <c r="J344" s="24">
        <f>RAW_DATA!J353</f>
        <v>6.09</v>
      </c>
      <c r="K344" s="18">
        <f>RAW_DATA!K353</f>
        <v>7</v>
      </c>
      <c r="L344" s="24">
        <f>RAW_DATA!L353</f>
        <v>642.69000000000005</v>
      </c>
      <c r="M344" s="18">
        <f t="shared" si="10"/>
        <v>6</v>
      </c>
      <c r="N344" s="18" t="str">
        <f t="shared" si="11"/>
        <v>On Time</v>
      </c>
    </row>
    <row r="345" spans="1:14" hidden="1" x14ac:dyDescent="0.3">
      <c r="A345" s="13" t="str">
        <f>RAW_DATA!A354</f>
        <v>ORD-0353</v>
      </c>
      <c r="B345" s="14">
        <v>44978</v>
      </c>
      <c r="C345" s="14">
        <v>44979</v>
      </c>
      <c r="D345" s="15" t="s">
        <v>579</v>
      </c>
      <c r="E345" s="15" t="s">
        <v>576</v>
      </c>
      <c r="F345" s="15" t="str">
        <f>RAW_DATA!F354</f>
        <v>WH-A</v>
      </c>
      <c r="G345" s="15">
        <f>RAW_DATA!G354</f>
        <v>168</v>
      </c>
      <c r="H345" s="15">
        <f>RAW_DATA!H354</f>
        <v>168</v>
      </c>
      <c r="I345" s="23">
        <f>RAW_DATA!I354</f>
        <v>24.12</v>
      </c>
      <c r="J345" s="23">
        <f>RAW_DATA!J354</f>
        <v>15.32</v>
      </c>
      <c r="K345" s="15">
        <f>RAW_DATA!K354</f>
        <v>3</v>
      </c>
      <c r="L345" s="23">
        <f>RAW_DATA!L354</f>
        <v>2495.36</v>
      </c>
      <c r="M345" s="15">
        <f t="shared" si="10"/>
        <v>1</v>
      </c>
      <c r="N345" s="15" t="str">
        <f t="shared" si="11"/>
        <v>On Time</v>
      </c>
    </row>
    <row r="346" spans="1:14" hidden="1" x14ac:dyDescent="0.3">
      <c r="A346" s="16" t="str">
        <f>RAW_DATA!A355</f>
        <v>ORD-0354</v>
      </c>
      <c r="B346" s="17">
        <v>45266</v>
      </c>
      <c r="C346" s="17">
        <v>45268</v>
      </c>
      <c r="D346" s="15" t="s">
        <v>578</v>
      </c>
      <c r="E346" s="18" t="s">
        <v>573</v>
      </c>
      <c r="F346" s="18" t="str">
        <f>RAW_DATA!F355</f>
        <v>WH-B</v>
      </c>
      <c r="G346" s="18">
        <f>RAW_DATA!G355</f>
        <v>203</v>
      </c>
      <c r="H346" s="18">
        <f>RAW_DATA!H355</f>
        <v>203</v>
      </c>
      <c r="I346" s="24">
        <f>RAW_DATA!I355</f>
        <v>16.48</v>
      </c>
      <c r="J346" s="24">
        <f>RAW_DATA!J355</f>
        <v>9.9499999999999993</v>
      </c>
      <c r="K346" s="18">
        <f>RAW_DATA!K355</f>
        <v>3</v>
      </c>
      <c r="L346" s="24">
        <f>RAW_DATA!L355</f>
        <v>2706.28</v>
      </c>
      <c r="M346" s="18">
        <f t="shared" si="10"/>
        <v>2</v>
      </c>
      <c r="N346" s="18" t="str">
        <f t="shared" si="11"/>
        <v>On Time</v>
      </c>
    </row>
    <row r="347" spans="1:14" hidden="1" x14ac:dyDescent="0.3">
      <c r="A347" s="13" t="str">
        <f>RAW_DATA!A356</f>
        <v>ORD-0355</v>
      </c>
      <c r="B347" s="14">
        <v>44985</v>
      </c>
      <c r="C347" s="14">
        <v>44989</v>
      </c>
      <c r="D347" s="15" t="s">
        <v>211</v>
      </c>
      <c r="E347" s="15" t="s">
        <v>575</v>
      </c>
      <c r="F347" s="15" t="str">
        <f>RAW_DATA!F356</f>
        <v>WH-B</v>
      </c>
      <c r="G347" s="15">
        <f>RAW_DATA!G356</f>
        <v>159</v>
      </c>
      <c r="H347" s="15">
        <f>RAW_DATA!H356</f>
        <v>159</v>
      </c>
      <c r="I347" s="23">
        <f>RAW_DATA!I356</f>
        <v>18.21</v>
      </c>
      <c r="J347" s="23">
        <f>RAW_DATA!J356</f>
        <v>11.76</v>
      </c>
      <c r="K347" s="15">
        <f>RAW_DATA!K356</f>
        <v>6</v>
      </c>
      <c r="L347" s="23">
        <f>RAW_DATA!L356</f>
        <v>2156.0100000000002</v>
      </c>
      <c r="M347" s="15">
        <f t="shared" si="10"/>
        <v>4</v>
      </c>
      <c r="N347" s="15" t="str">
        <f t="shared" si="11"/>
        <v>On Time</v>
      </c>
    </row>
    <row r="348" spans="1:14" hidden="1" x14ac:dyDescent="0.3">
      <c r="A348" s="16" t="str">
        <f>RAW_DATA!A357</f>
        <v>ORD-0356</v>
      </c>
      <c r="B348" s="17">
        <v>45283</v>
      </c>
      <c r="C348" s="17">
        <v>45284</v>
      </c>
      <c r="D348" s="18" t="s">
        <v>198</v>
      </c>
      <c r="E348" s="18" t="s">
        <v>573</v>
      </c>
      <c r="F348" s="18" t="str">
        <f>RAW_DATA!F357</f>
        <v>WH-B</v>
      </c>
      <c r="G348" s="18">
        <f>RAW_DATA!G357</f>
        <v>73</v>
      </c>
      <c r="H348" s="18">
        <f>RAW_DATA!H357</f>
        <v>73</v>
      </c>
      <c r="I348" s="24">
        <f>RAW_DATA!I357</f>
        <v>13.85</v>
      </c>
      <c r="J348" s="24">
        <f>RAW_DATA!J357</f>
        <v>9.84</v>
      </c>
      <c r="K348" s="18">
        <f>RAW_DATA!K357</f>
        <v>2</v>
      </c>
      <c r="L348" s="24">
        <f>RAW_DATA!L357</f>
        <v>938.87</v>
      </c>
      <c r="M348" s="18">
        <f t="shared" si="10"/>
        <v>1</v>
      </c>
      <c r="N348" s="18" t="str">
        <f t="shared" si="11"/>
        <v>On Time</v>
      </c>
    </row>
    <row r="349" spans="1:14" hidden="1" x14ac:dyDescent="0.3">
      <c r="A349" s="13" t="str">
        <f>RAW_DATA!A358</f>
        <v>ORD-0357</v>
      </c>
      <c r="B349" s="14">
        <v>45110</v>
      </c>
      <c r="C349" s="14">
        <v>45108</v>
      </c>
      <c r="D349" s="15" t="s">
        <v>198</v>
      </c>
      <c r="E349" s="15" t="s">
        <v>577</v>
      </c>
      <c r="F349" s="15" t="str">
        <f>RAW_DATA!F358</f>
        <v>WH-D</v>
      </c>
      <c r="G349" s="15">
        <f>RAW_DATA!G358</f>
        <v>267</v>
      </c>
      <c r="H349" s="15">
        <f>RAW_DATA!H358</f>
        <v>267</v>
      </c>
      <c r="I349" s="23">
        <f>RAW_DATA!I358</f>
        <v>5.21</v>
      </c>
      <c r="J349" s="23">
        <f>RAW_DATA!J358</f>
        <v>3.29</v>
      </c>
      <c r="K349" s="15">
        <f>RAW_DATA!K358</f>
        <v>2</v>
      </c>
      <c r="L349" s="23">
        <f>RAW_DATA!L358</f>
        <v>814.82</v>
      </c>
      <c r="M349" s="15" t="s">
        <v>581</v>
      </c>
      <c r="N349" s="15" t="s">
        <v>583</v>
      </c>
    </row>
    <row r="350" spans="1:14" hidden="1" x14ac:dyDescent="0.3">
      <c r="A350" s="16" t="str">
        <f>RAW_DATA!A359</f>
        <v>ORD-0358</v>
      </c>
      <c r="B350" s="17">
        <v>45287</v>
      </c>
      <c r="C350" s="17">
        <v>45290</v>
      </c>
      <c r="D350" s="18" t="s">
        <v>579</v>
      </c>
      <c r="E350" s="18" t="s">
        <v>575</v>
      </c>
      <c r="F350" s="18" t="str">
        <f>RAW_DATA!F359</f>
        <v>WH-A</v>
      </c>
      <c r="G350" s="18">
        <f>RAW_DATA!G359</f>
        <v>400</v>
      </c>
      <c r="H350" s="18">
        <f>RAW_DATA!H359</f>
        <v>400</v>
      </c>
      <c r="I350" s="24">
        <f>RAW_DATA!I359</f>
        <v>17.09</v>
      </c>
      <c r="J350" s="24">
        <f>RAW_DATA!J359</f>
        <v>12.74</v>
      </c>
      <c r="K350" s="18">
        <f>RAW_DATA!K359</f>
        <v>3</v>
      </c>
      <c r="L350" s="24">
        <f>RAW_DATA!L359</f>
        <v>6634.52</v>
      </c>
      <c r="M350" s="18">
        <f t="shared" si="10"/>
        <v>3</v>
      </c>
      <c r="N350" s="18" t="str">
        <f t="shared" si="11"/>
        <v>On Time</v>
      </c>
    </row>
    <row r="351" spans="1:14" hidden="1" x14ac:dyDescent="0.3">
      <c r="A351" s="13" t="str">
        <f>RAW_DATA!A360</f>
        <v>ORD-0359</v>
      </c>
      <c r="B351" s="14">
        <v>45279</v>
      </c>
      <c r="C351" s="14">
        <v>45280</v>
      </c>
      <c r="D351" s="15" t="s">
        <v>211</v>
      </c>
      <c r="E351" s="15" t="s">
        <v>577</v>
      </c>
      <c r="F351" s="15" t="str">
        <f>RAW_DATA!F360</f>
        <v>WH-E</v>
      </c>
      <c r="G351" s="15">
        <f>RAW_DATA!G360</f>
        <v>241</v>
      </c>
      <c r="H351" s="15">
        <f>RAW_DATA!H360</f>
        <v>241</v>
      </c>
      <c r="I351" s="23">
        <f>RAW_DATA!I360</f>
        <v>5.69</v>
      </c>
      <c r="J351" s="23">
        <f>RAW_DATA!J360</f>
        <v>3.52</v>
      </c>
      <c r="K351" s="15">
        <f>RAW_DATA!K360</f>
        <v>6</v>
      </c>
      <c r="L351" s="23">
        <f>RAW_DATA!L360</f>
        <v>1107.72</v>
      </c>
      <c r="M351" s="15">
        <f t="shared" si="10"/>
        <v>1</v>
      </c>
      <c r="N351" s="15" t="str">
        <f t="shared" si="11"/>
        <v>On Time</v>
      </c>
    </row>
    <row r="352" spans="1:14" hidden="1" x14ac:dyDescent="0.3">
      <c r="A352" s="16" t="str">
        <f>RAW_DATA!A361</f>
        <v>ORD-0360</v>
      </c>
      <c r="B352" s="17">
        <v>45240</v>
      </c>
      <c r="C352" s="17">
        <v>45242</v>
      </c>
      <c r="D352" s="18" t="s">
        <v>571</v>
      </c>
      <c r="E352" s="18" t="s">
        <v>574</v>
      </c>
      <c r="F352" s="18" t="str">
        <f>RAW_DATA!F361</f>
        <v>WH-E</v>
      </c>
      <c r="G352" s="18">
        <f>RAW_DATA!G361</f>
        <v>278</v>
      </c>
      <c r="H352" s="18">
        <f>RAW_DATA!H361</f>
        <v>306</v>
      </c>
      <c r="I352" s="24">
        <f>RAW_DATA!I361</f>
        <v>10.49</v>
      </c>
      <c r="J352" s="24">
        <f>RAW_DATA!J361</f>
        <v>7.59</v>
      </c>
      <c r="K352" s="18">
        <f>RAW_DATA!K361</f>
        <v>4</v>
      </c>
      <c r="L352" s="24">
        <f>RAW_DATA!L361</f>
        <v>1993.8</v>
      </c>
      <c r="M352" s="18">
        <f t="shared" si="10"/>
        <v>2</v>
      </c>
      <c r="N352" s="18" t="str">
        <f t="shared" si="11"/>
        <v>On Time</v>
      </c>
    </row>
    <row r="353" spans="1:14" x14ac:dyDescent="0.3">
      <c r="A353" s="13" t="str">
        <f>RAW_DATA!A362</f>
        <v>ORD-0361</v>
      </c>
      <c r="B353" s="14">
        <v>45096</v>
      </c>
      <c r="C353" s="14">
        <v>45097</v>
      </c>
      <c r="D353" s="15" t="s">
        <v>570</v>
      </c>
      <c r="E353" s="15" t="s">
        <v>575</v>
      </c>
      <c r="F353" s="15" t="str">
        <f>RAW_DATA!F362</f>
        <v>WH-B</v>
      </c>
      <c r="G353" s="15">
        <f>RAW_DATA!G362</f>
        <v>279</v>
      </c>
      <c r="H353" s="15">
        <f>RAW_DATA!H362</f>
        <v>279</v>
      </c>
      <c r="I353" s="23">
        <f>RAW_DATA!I362</f>
        <v>17.79</v>
      </c>
      <c r="J353" s="23">
        <f>RAW_DATA!J362</f>
        <v>11.22</v>
      </c>
      <c r="K353" s="15">
        <f>RAW_DATA!K362</f>
        <v>7</v>
      </c>
      <c r="L353" s="23">
        <f>RAW_DATA!L362</f>
        <v>3258.73</v>
      </c>
      <c r="M353" s="15">
        <f t="shared" si="10"/>
        <v>1</v>
      </c>
      <c r="N353" s="15" t="str">
        <f t="shared" si="11"/>
        <v>On Time</v>
      </c>
    </row>
    <row r="354" spans="1:14" x14ac:dyDescent="0.3">
      <c r="A354" s="16" t="str">
        <f>RAW_DATA!A363</f>
        <v>ORD-0362</v>
      </c>
      <c r="B354" s="17">
        <v>45156</v>
      </c>
      <c r="C354" s="17">
        <v>45160</v>
      </c>
      <c r="D354" s="18" t="s">
        <v>570</v>
      </c>
      <c r="E354" s="18" t="s">
        <v>576</v>
      </c>
      <c r="F354" s="19">
        <f>RAW_DATA!F363</f>
        <v>0</v>
      </c>
      <c r="G354" s="18">
        <f>RAW_DATA!G363</f>
        <v>248</v>
      </c>
      <c r="H354" s="18">
        <f>RAW_DATA!H363</f>
        <v>248</v>
      </c>
      <c r="I354" s="24">
        <f>RAW_DATA!I363</f>
        <v>27.77</v>
      </c>
      <c r="J354" s="24">
        <f>RAW_DATA!J363</f>
        <v>19.41</v>
      </c>
      <c r="K354" s="18">
        <f>RAW_DATA!K363</f>
        <v>7</v>
      </c>
      <c r="L354" s="24">
        <f>RAW_DATA!L363</f>
        <v>4383.63</v>
      </c>
      <c r="M354" s="18">
        <f t="shared" si="10"/>
        <v>4</v>
      </c>
      <c r="N354" s="18" t="str">
        <f t="shared" si="11"/>
        <v>On Time</v>
      </c>
    </row>
    <row r="355" spans="1:14" hidden="1" x14ac:dyDescent="0.3">
      <c r="A355" s="13" t="str">
        <f>RAW_DATA!A364</f>
        <v>ORD-0363</v>
      </c>
      <c r="B355" s="14">
        <v>45212</v>
      </c>
      <c r="C355" s="14">
        <v>45213</v>
      </c>
      <c r="D355" s="15" t="s">
        <v>571</v>
      </c>
      <c r="E355" s="15" t="s">
        <v>576</v>
      </c>
      <c r="F355" s="15" t="str">
        <f>RAW_DATA!F364</f>
        <v>WH-A</v>
      </c>
      <c r="G355" s="15">
        <f>RAW_DATA!G364</f>
        <v>329</v>
      </c>
      <c r="H355" s="15">
        <f>RAW_DATA!H364</f>
        <v>329</v>
      </c>
      <c r="I355" s="23">
        <f>RAW_DATA!I364</f>
        <v>23.65</v>
      </c>
      <c r="J355" s="23">
        <f>RAW_DATA!J364</f>
        <v>17.22</v>
      </c>
      <c r="K355" s="15">
        <f>RAW_DATA!K364</f>
        <v>4</v>
      </c>
      <c r="L355" s="26">
        <f>RAW_DATA!L364</f>
        <v>0</v>
      </c>
      <c r="M355" s="15">
        <f t="shared" si="10"/>
        <v>1</v>
      </c>
      <c r="N355" s="15" t="str">
        <f t="shared" si="11"/>
        <v>On Time</v>
      </c>
    </row>
    <row r="356" spans="1:14" x14ac:dyDescent="0.3">
      <c r="A356" s="16" t="str">
        <f>RAW_DATA!A365</f>
        <v>ORD-0364</v>
      </c>
      <c r="B356" s="17">
        <v>44954</v>
      </c>
      <c r="C356" s="17">
        <v>44961</v>
      </c>
      <c r="D356" s="18" t="s">
        <v>570</v>
      </c>
      <c r="E356" s="18" t="s">
        <v>575</v>
      </c>
      <c r="F356" s="18" t="str">
        <f>RAW_DATA!F365</f>
        <v>WH-C</v>
      </c>
      <c r="G356" s="18">
        <f>RAW_DATA!G365</f>
        <v>252</v>
      </c>
      <c r="H356" s="18">
        <f>RAW_DATA!H365</f>
        <v>252</v>
      </c>
      <c r="I356" s="24">
        <f>RAW_DATA!I365</f>
        <v>18.91</v>
      </c>
      <c r="J356" s="24">
        <f>RAW_DATA!J365</f>
        <v>12.67</v>
      </c>
      <c r="K356" s="18">
        <f>RAW_DATA!K365</f>
        <v>7</v>
      </c>
      <c r="L356" s="24">
        <f>RAW_DATA!L365</f>
        <v>4246.46</v>
      </c>
      <c r="M356" s="18">
        <f t="shared" si="10"/>
        <v>7</v>
      </c>
      <c r="N356" s="18" t="str">
        <f t="shared" si="11"/>
        <v>On Time</v>
      </c>
    </row>
    <row r="357" spans="1:14" hidden="1" x14ac:dyDescent="0.3">
      <c r="A357" s="13" t="str">
        <f>RAW_DATA!A366</f>
        <v>ORD-0365</v>
      </c>
      <c r="B357" s="14">
        <v>44976</v>
      </c>
      <c r="C357" s="14">
        <v>44978</v>
      </c>
      <c r="D357" s="15" t="s">
        <v>211</v>
      </c>
      <c r="E357" s="15" t="s">
        <v>576</v>
      </c>
      <c r="F357" s="15" t="str">
        <f>RAW_DATA!F366</f>
        <v>WH-A</v>
      </c>
      <c r="G357" s="15">
        <f>RAW_DATA!G366</f>
        <v>21</v>
      </c>
      <c r="H357" s="15">
        <f>RAW_DATA!H366</f>
        <v>21</v>
      </c>
      <c r="I357" s="23">
        <f>RAW_DATA!I366</f>
        <v>25.96</v>
      </c>
      <c r="J357" s="23">
        <f>RAW_DATA!J366</f>
        <v>19.29</v>
      </c>
      <c r="K357" s="15">
        <f>RAW_DATA!K366</f>
        <v>6</v>
      </c>
      <c r="L357" s="23">
        <f>RAW_DATA!L366</f>
        <v>435.55</v>
      </c>
      <c r="M357" s="15">
        <f t="shared" si="10"/>
        <v>2</v>
      </c>
      <c r="N357" s="15" t="str">
        <f t="shared" si="11"/>
        <v>On Time</v>
      </c>
    </row>
    <row r="358" spans="1:14" hidden="1" x14ac:dyDescent="0.3">
      <c r="A358" s="16" t="str">
        <f>RAW_DATA!A367</f>
        <v>ORD-0366</v>
      </c>
      <c r="B358" s="17">
        <v>45011</v>
      </c>
      <c r="C358" s="17">
        <v>45017</v>
      </c>
      <c r="D358" s="18" t="s">
        <v>211</v>
      </c>
      <c r="E358" s="18" t="s">
        <v>573</v>
      </c>
      <c r="F358" s="18" t="str">
        <f>RAW_DATA!F367</f>
        <v>WH-A</v>
      </c>
      <c r="G358" s="18">
        <f>RAW_DATA!G367</f>
        <v>400</v>
      </c>
      <c r="H358" s="18">
        <f>RAW_DATA!H367</f>
        <v>400</v>
      </c>
      <c r="I358" s="24">
        <f>RAW_DATA!I367</f>
        <v>10.37</v>
      </c>
      <c r="J358" s="24">
        <f>RAW_DATA!J367</f>
        <v>6.97</v>
      </c>
      <c r="K358" s="18">
        <f>RAW_DATA!K367</f>
        <v>6</v>
      </c>
      <c r="L358" s="24">
        <f>RAW_DATA!L367</f>
        <v>2822.92</v>
      </c>
      <c r="M358" s="18">
        <f t="shared" si="10"/>
        <v>6</v>
      </c>
      <c r="N358" s="18" t="str">
        <f t="shared" si="11"/>
        <v>On Time</v>
      </c>
    </row>
    <row r="359" spans="1:14" hidden="1" x14ac:dyDescent="0.3">
      <c r="A359" s="13" t="str">
        <f>RAW_DATA!A368</f>
        <v>ORD-0367</v>
      </c>
      <c r="B359" s="14">
        <v>45024</v>
      </c>
      <c r="C359" s="14">
        <v>45025</v>
      </c>
      <c r="D359" s="15" t="s">
        <v>571</v>
      </c>
      <c r="E359" s="15" t="s">
        <v>574</v>
      </c>
      <c r="F359" s="15" t="str">
        <f>RAW_DATA!F368</f>
        <v>WH-D</v>
      </c>
      <c r="G359" s="15">
        <f>RAW_DATA!G368</f>
        <v>232</v>
      </c>
      <c r="H359" s="15">
        <f>RAW_DATA!H368</f>
        <v>177</v>
      </c>
      <c r="I359" s="23">
        <f>RAW_DATA!I368</f>
        <v>10.11</v>
      </c>
      <c r="J359" s="23">
        <f>RAW_DATA!J368</f>
        <v>6.47</v>
      </c>
      <c r="K359" s="15">
        <f>RAW_DATA!K368</f>
        <v>4</v>
      </c>
      <c r="L359" s="23">
        <f>RAW_DATA!L368</f>
        <v>1943.96</v>
      </c>
      <c r="M359" s="15">
        <f t="shared" si="10"/>
        <v>1</v>
      </c>
      <c r="N359" s="15" t="str">
        <f t="shared" si="11"/>
        <v>On Time</v>
      </c>
    </row>
    <row r="360" spans="1:14" hidden="1" x14ac:dyDescent="0.3">
      <c r="A360" s="16" t="str">
        <f>RAW_DATA!A369</f>
        <v>ORD-0368</v>
      </c>
      <c r="B360" s="17">
        <v>45198</v>
      </c>
      <c r="C360" s="17">
        <v>45200</v>
      </c>
      <c r="D360" s="18" t="s">
        <v>198</v>
      </c>
      <c r="E360" s="18" t="s">
        <v>576</v>
      </c>
      <c r="F360" s="18" t="str">
        <f>RAW_DATA!F369</f>
        <v>WH-A</v>
      </c>
      <c r="G360" s="18">
        <f>RAW_DATA!G369</f>
        <v>319</v>
      </c>
      <c r="H360" s="18">
        <f>RAW_DATA!H369</f>
        <v>319</v>
      </c>
      <c r="I360" s="24">
        <f>RAW_DATA!I369</f>
        <v>22.1</v>
      </c>
      <c r="J360" s="24">
        <f>RAW_DATA!J369</f>
        <v>16.23</v>
      </c>
      <c r="K360" s="18">
        <f>RAW_DATA!K369</f>
        <v>2</v>
      </c>
      <c r="L360" s="24">
        <f>RAW_DATA!L369</f>
        <v>5210.1000000000004</v>
      </c>
      <c r="M360" s="18">
        <f t="shared" si="10"/>
        <v>2</v>
      </c>
      <c r="N360" s="18" t="str">
        <f t="shared" si="11"/>
        <v>On Time</v>
      </c>
    </row>
    <row r="361" spans="1:14" hidden="1" x14ac:dyDescent="0.3">
      <c r="A361" s="13" t="str">
        <f>RAW_DATA!A370</f>
        <v>ORD-0369</v>
      </c>
      <c r="B361" s="14">
        <v>45125</v>
      </c>
      <c r="C361" s="14">
        <v>45127</v>
      </c>
      <c r="D361" s="15" t="s">
        <v>198</v>
      </c>
      <c r="E361" s="15" t="s">
        <v>574</v>
      </c>
      <c r="F361" s="15" t="str">
        <f>RAW_DATA!F370</f>
        <v>WH-A</v>
      </c>
      <c r="G361" s="15">
        <f>RAW_DATA!G370</f>
        <v>278</v>
      </c>
      <c r="H361" s="15">
        <f>RAW_DATA!H370</f>
        <v>278</v>
      </c>
      <c r="I361" s="23">
        <f>RAW_DATA!I370</f>
        <v>8.41</v>
      </c>
      <c r="J361" s="23">
        <f>RAW_DATA!J370</f>
        <v>5.65</v>
      </c>
      <c r="K361" s="15">
        <f>RAW_DATA!K370</f>
        <v>2</v>
      </c>
      <c r="L361" s="23">
        <f>RAW_DATA!L370</f>
        <v>2066.27</v>
      </c>
      <c r="M361" s="15">
        <f t="shared" si="10"/>
        <v>2</v>
      </c>
      <c r="N361" s="15" t="str">
        <f t="shared" si="11"/>
        <v>On Time</v>
      </c>
    </row>
    <row r="362" spans="1:14" hidden="1" x14ac:dyDescent="0.3">
      <c r="A362" s="16" t="str">
        <f>RAW_DATA!A371</f>
        <v>ORD-0370</v>
      </c>
      <c r="B362" s="17">
        <v>45102</v>
      </c>
      <c r="C362" s="17">
        <v>45111</v>
      </c>
      <c r="D362" s="18" t="s">
        <v>572</v>
      </c>
      <c r="E362" s="18" t="s">
        <v>575</v>
      </c>
      <c r="F362" s="18" t="str">
        <f>RAW_DATA!F371</f>
        <v>WH-D</v>
      </c>
      <c r="G362" s="18">
        <f>RAW_DATA!G371</f>
        <v>88</v>
      </c>
      <c r="H362" s="18">
        <f>RAW_DATA!H371</f>
        <v>88</v>
      </c>
      <c r="I362" s="24">
        <f>RAW_DATA!I371</f>
        <v>17.420000000000002</v>
      </c>
      <c r="J362" s="24">
        <f>RAW_DATA!J371</f>
        <v>12.67</v>
      </c>
      <c r="K362" s="18">
        <f>RAW_DATA!K371</f>
        <v>5</v>
      </c>
      <c r="L362" s="24">
        <f>RAW_DATA!L371</f>
        <v>1346.18</v>
      </c>
      <c r="M362" s="18">
        <f t="shared" si="10"/>
        <v>9</v>
      </c>
      <c r="N362" s="18" t="str">
        <f t="shared" si="11"/>
        <v>Late</v>
      </c>
    </row>
    <row r="363" spans="1:14" hidden="1" x14ac:dyDescent="0.3">
      <c r="A363" s="13" t="str">
        <f>RAW_DATA!A372</f>
        <v>ORD-0371</v>
      </c>
      <c r="B363" s="14">
        <v>45029</v>
      </c>
      <c r="C363" s="14">
        <v>45035</v>
      </c>
      <c r="D363" s="15" t="s">
        <v>211</v>
      </c>
      <c r="E363" s="15" t="s">
        <v>577</v>
      </c>
      <c r="F363" s="15" t="str">
        <f>RAW_DATA!F372</f>
        <v>WH-B</v>
      </c>
      <c r="G363" s="15">
        <f>RAW_DATA!G372</f>
        <v>168</v>
      </c>
      <c r="H363" s="15">
        <f>RAW_DATA!H372</f>
        <v>168</v>
      </c>
      <c r="I363" s="23">
        <f>RAW_DATA!I372</f>
        <v>8.1199999999999992</v>
      </c>
      <c r="J363" s="23">
        <f>RAW_DATA!J372</f>
        <v>4.68</v>
      </c>
      <c r="K363" s="15">
        <f>RAW_DATA!K372</f>
        <v>6</v>
      </c>
      <c r="L363" s="23">
        <f>RAW_DATA!L372</f>
        <v>1042.74</v>
      </c>
      <c r="M363" s="15">
        <f t="shared" si="10"/>
        <v>6</v>
      </c>
      <c r="N363" s="15" t="str">
        <f t="shared" si="11"/>
        <v>On Time</v>
      </c>
    </row>
    <row r="364" spans="1:14" hidden="1" x14ac:dyDescent="0.3">
      <c r="A364" s="16" t="str">
        <f>RAW_DATA!A373</f>
        <v>ORD-0372</v>
      </c>
      <c r="B364" s="17">
        <v>45282</v>
      </c>
      <c r="C364" s="17">
        <v>45283</v>
      </c>
      <c r="D364" s="18" t="s">
        <v>198</v>
      </c>
      <c r="E364" s="18" t="s">
        <v>577</v>
      </c>
      <c r="F364" s="18" t="str">
        <f>RAW_DATA!F373</f>
        <v>WH-E</v>
      </c>
      <c r="G364" s="18">
        <f>RAW_DATA!G373</f>
        <v>200</v>
      </c>
      <c r="H364" s="18">
        <f>RAW_DATA!H373</f>
        <v>200</v>
      </c>
      <c r="I364" s="24">
        <f>RAW_DATA!I373</f>
        <v>6.9</v>
      </c>
      <c r="J364" s="24">
        <f>RAW_DATA!J373</f>
        <v>5.0999999999999996</v>
      </c>
      <c r="K364" s="18">
        <f>RAW_DATA!K373</f>
        <v>2</v>
      </c>
      <c r="L364" s="24">
        <f>RAW_DATA!L373</f>
        <v>1352.6</v>
      </c>
      <c r="M364" s="18">
        <f t="shared" si="10"/>
        <v>1</v>
      </c>
      <c r="N364" s="18" t="str">
        <f t="shared" si="11"/>
        <v>On Time</v>
      </c>
    </row>
    <row r="365" spans="1:14" hidden="1" x14ac:dyDescent="0.3">
      <c r="A365" s="13" t="str">
        <f>RAW_DATA!A375</f>
        <v>ORD-0374</v>
      </c>
      <c r="B365" s="14">
        <v>44958</v>
      </c>
      <c r="C365" s="14">
        <v>44960</v>
      </c>
      <c r="D365" s="15" t="s">
        <v>579</v>
      </c>
      <c r="E365" s="15" t="s">
        <v>575</v>
      </c>
      <c r="F365" s="15" t="str">
        <f>RAW_DATA!F375</f>
        <v>WH-B</v>
      </c>
      <c r="G365" s="15">
        <f>RAW_DATA!G375</f>
        <v>124</v>
      </c>
      <c r="H365" s="15">
        <f>RAW_DATA!H375</f>
        <v>124</v>
      </c>
      <c r="I365" s="23">
        <f>RAW_DATA!I375</f>
        <v>12.29</v>
      </c>
      <c r="J365" s="23">
        <f>RAW_DATA!J375</f>
        <v>8.76</v>
      </c>
      <c r="K365" s="15">
        <f>RAW_DATA!K375</f>
        <v>3</v>
      </c>
      <c r="L365" s="23">
        <f>RAW_DATA!L375</f>
        <v>1044.4100000000001</v>
      </c>
      <c r="M365" s="15">
        <f t="shared" si="10"/>
        <v>2</v>
      </c>
      <c r="N365" s="15" t="str">
        <f t="shared" si="11"/>
        <v>On Time</v>
      </c>
    </row>
    <row r="366" spans="1:14" hidden="1" x14ac:dyDescent="0.3">
      <c r="A366" s="16" t="str">
        <f>RAW_DATA!A376</f>
        <v>ORD-0375</v>
      </c>
      <c r="B366" s="17">
        <v>45048</v>
      </c>
      <c r="C366" s="17">
        <v>45051</v>
      </c>
      <c r="D366" s="18" t="s">
        <v>572</v>
      </c>
      <c r="E366" s="18" t="s">
        <v>577</v>
      </c>
      <c r="F366" s="18" t="str">
        <f>RAW_DATA!F376</f>
        <v>WH-D</v>
      </c>
      <c r="G366" s="18">
        <f>RAW_DATA!G376</f>
        <v>374</v>
      </c>
      <c r="H366" s="18">
        <f>RAW_DATA!H376</f>
        <v>374</v>
      </c>
      <c r="I366" s="24">
        <f>RAW_DATA!I376</f>
        <v>8.14</v>
      </c>
      <c r="J366" s="24">
        <f>RAW_DATA!J376</f>
        <v>5.1100000000000003</v>
      </c>
      <c r="K366" s="18">
        <f>RAW_DATA!K376</f>
        <v>5</v>
      </c>
      <c r="L366" s="24">
        <f>RAW_DATA!L376</f>
        <v>2817.06</v>
      </c>
      <c r="M366" s="18">
        <f t="shared" si="10"/>
        <v>3</v>
      </c>
      <c r="N366" s="18" t="str">
        <f t="shared" si="11"/>
        <v>On Time</v>
      </c>
    </row>
    <row r="367" spans="1:14" hidden="1" x14ac:dyDescent="0.3">
      <c r="A367" s="13" t="str">
        <f>RAW_DATA!A377</f>
        <v>ORD-0376</v>
      </c>
      <c r="B367" s="14">
        <v>44933</v>
      </c>
      <c r="C367" s="14">
        <v>44935</v>
      </c>
      <c r="D367" s="15" t="s">
        <v>211</v>
      </c>
      <c r="E367" s="15" t="s">
        <v>577</v>
      </c>
      <c r="F367" s="15" t="str">
        <f>RAW_DATA!F377</f>
        <v>WH-A</v>
      </c>
      <c r="G367" s="15">
        <f>RAW_DATA!G377</f>
        <v>337</v>
      </c>
      <c r="H367" s="15">
        <f>RAW_DATA!H377</f>
        <v>337</v>
      </c>
      <c r="I367" s="23">
        <f>RAW_DATA!I377</f>
        <v>7.9</v>
      </c>
      <c r="J367" s="23">
        <f>RAW_DATA!J377</f>
        <v>5.05</v>
      </c>
      <c r="K367" s="15">
        <f>RAW_DATA!K377</f>
        <v>6</v>
      </c>
      <c r="L367" s="23">
        <f>RAW_DATA!L377</f>
        <v>1761.97</v>
      </c>
      <c r="M367" s="15">
        <f t="shared" si="10"/>
        <v>2</v>
      </c>
      <c r="N367" s="15" t="str">
        <f t="shared" si="11"/>
        <v>On Time</v>
      </c>
    </row>
    <row r="368" spans="1:14" hidden="1" x14ac:dyDescent="0.3">
      <c r="A368" s="16" t="str">
        <f>RAW_DATA!A378</f>
        <v>ORD-0377</v>
      </c>
      <c r="B368" s="17">
        <v>45235</v>
      </c>
      <c r="C368" s="17">
        <v>45241</v>
      </c>
      <c r="D368" s="18" t="s">
        <v>211</v>
      </c>
      <c r="E368" s="18" t="s">
        <v>577</v>
      </c>
      <c r="F368" s="18" t="str">
        <f>RAW_DATA!F378</f>
        <v>WH-E</v>
      </c>
      <c r="G368" s="18">
        <f>RAW_DATA!G378</f>
        <v>119</v>
      </c>
      <c r="H368" s="18">
        <f>RAW_DATA!H378</f>
        <v>119</v>
      </c>
      <c r="I368" s="24">
        <f>RAW_DATA!I378</f>
        <v>5.44</v>
      </c>
      <c r="J368" s="24">
        <f>RAW_DATA!J378</f>
        <v>3.73</v>
      </c>
      <c r="K368" s="18">
        <f>RAW_DATA!K378</f>
        <v>6</v>
      </c>
      <c r="L368" s="24">
        <f>RAW_DATA!L378</f>
        <v>449.28</v>
      </c>
      <c r="M368" s="18">
        <f t="shared" si="10"/>
        <v>6</v>
      </c>
      <c r="N368" s="18" t="str">
        <f t="shared" si="11"/>
        <v>On Time</v>
      </c>
    </row>
    <row r="369" spans="1:14" hidden="1" x14ac:dyDescent="0.3">
      <c r="A369" s="13" t="str">
        <f>RAW_DATA!A379</f>
        <v>ORD-0378</v>
      </c>
      <c r="B369" s="14">
        <v>45120</v>
      </c>
      <c r="C369" s="14">
        <v>45122</v>
      </c>
      <c r="D369" s="15" t="s">
        <v>198</v>
      </c>
      <c r="E369" s="15" t="s">
        <v>577</v>
      </c>
      <c r="F369" s="15" t="str">
        <f>RAW_DATA!F379</f>
        <v>WH-A</v>
      </c>
      <c r="G369" s="15">
        <f>RAW_DATA!G379</f>
        <v>304</v>
      </c>
      <c r="H369" s="15">
        <f>RAW_DATA!H379</f>
        <v>304</v>
      </c>
      <c r="I369" s="23" t="str">
        <f>RAW_DATA!I379</f>
        <v>$5.38</v>
      </c>
      <c r="J369" s="23">
        <f>RAW_DATA!J379</f>
        <v>3.87</v>
      </c>
      <c r="K369" s="15">
        <f>RAW_DATA!K379</f>
        <v>2</v>
      </c>
      <c r="L369" s="23">
        <f>RAW_DATA!L379</f>
        <v>1062.82</v>
      </c>
      <c r="M369" s="15">
        <f t="shared" si="10"/>
        <v>2</v>
      </c>
      <c r="N369" s="15" t="str">
        <f t="shared" si="11"/>
        <v>On Time</v>
      </c>
    </row>
    <row r="370" spans="1:14" x14ac:dyDescent="0.3">
      <c r="A370" s="16" t="str">
        <f>RAW_DATA!A380</f>
        <v>ORD-0379</v>
      </c>
      <c r="B370" s="17">
        <v>45005</v>
      </c>
      <c r="C370" s="17">
        <v>45010</v>
      </c>
      <c r="D370" s="18" t="s">
        <v>570</v>
      </c>
      <c r="E370" s="18" t="s">
        <v>574</v>
      </c>
      <c r="F370" s="18" t="str">
        <f>RAW_DATA!F380</f>
        <v>WH-A</v>
      </c>
      <c r="G370" s="18">
        <f>RAW_DATA!G380</f>
        <v>46</v>
      </c>
      <c r="H370" s="18">
        <f>RAW_DATA!H380</f>
        <v>46</v>
      </c>
      <c r="I370" s="24">
        <f>RAW_DATA!I380</f>
        <v>9.4</v>
      </c>
      <c r="J370" s="24">
        <f>RAW_DATA!J380</f>
        <v>6.76</v>
      </c>
      <c r="K370" s="18">
        <f>RAW_DATA!K380</f>
        <v>7</v>
      </c>
      <c r="L370" s="24">
        <f>RAW_DATA!L380</f>
        <v>336.05</v>
      </c>
      <c r="M370" s="18">
        <f t="shared" si="10"/>
        <v>5</v>
      </c>
      <c r="N370" s="18" t="str">
        <f t="shared" si="11"/>
        <v>On Time</v>
      </c>
    </row>
    <row r="371" spans="1:14" hidden="1" x14ac:dyDescent="0.3">
      <c r="A371" s="13" t="str">
        <f>RAW_DATA!A381</f>
        <v>ORD-0380</v>
      </c>
      <c r="B371" s="14">
        <v>45196</v>
      </c>
      <c r="C371" s="14">
        <v>45198</v>
      </c>
      <c r="D371" s="15" t="s">
        <v>211</v>
      </c>
      <c r="E371" s="15" t="s">
        <v>573</v>
      </c>
      <c r="F371" s="15" t="str">
        <f>RAW_DATA!F381</f>
        <v>WH-C</v>
      </c>
      <c r="G371" s="15">
        <f>RAW_DATA!G381</f>
        <v>286</v>
      </c>
      <c r="H371" s="15">
        <f>RAW_DATA!H381</f>
        <v>286</v>
      </c>
      <c r="I371" s="23">
        <f>RAW_DATA!I381</f>
        <v>13.24</v>
      </c>
      <c r="J371" s="23">
        <f>RAW_DATA!J381</f>
        <v>8.3800000000000008</v>
      </c>
      <c r="K371" s="15">
        <f>RAW_DATA!K381</f>
        <v>6</v>
      </c>
      <c r="L371" s="23">
        <f>RAW_DATA!L381</f>
        <v>2929.27</v>
      </c>
      <c r="M371" s="15">
        <f t="shared" si="10"/>
        <v>2</v>
      </c>
      <c r="N371" s="15" t="str">
        <f t="shared" si="11"/>
        <v>On Time</v>
      </c>
    </row>
    <row r="372" spans="1:14" hidden="1" x14ac:dyDescent="0.3">
      <c r="A372" s="16" t="str">
        <f>RAW_DATA!A382</f>
        <v>ORD-0381</v>
      </c>
      <c r="B372" s="17">
        <v>45036</v>
      </c>
      <c r="C372" s="17">
        <v>45039</v>
      </c>
      <c r="D372" s="18" t="s">
        <v>569</v>
      </c>
      <c r="E372" s="18" t="s">
        <v>575</v>
      </c>
      <c r="F372" s="18" t="str">
        <f>RAW_DATA!F382</f>
        <v>WH-B</v>
      </c>
      <c r="G372" s="18">
        <f>RAW_DATA!G382</f>
        <v>204</v>
      </c>
      <c r="H372" s="18">
        <f>RAW_DATA!H382</f>
        <v>204</v>
      </c>
      <c r="I372" s="24">
        <f>RAW_DATA!I382</f>
        <v>20.55</v>
      </c>
      <c r="J372" s="24">
        <f>RAW_DATA!J382</f>
        <v>13.84</v>
      </c>
      <c r="K372" s="18">
        <f>RAW_DATA!K382</f>
        <v>4</v>
      </c>
      <c r="L372" s="24">
        <f>RAW_DATA!L382</f>
        <v>3345.44</v>
      </c>
      <c r="M372" s="18">
        <f t="shared" si="10"/>
        <v>3</v>
      </c>
      <c r="N372" s="18" t="str">
        <f t="shared" si="11"/>
        <v>On Time</v>
      </c>
    </row>
    <row r="373" spans="1:14" hidden="1" x14ac:dyDescent="0.3">
      <c r="A373" s="13" t="str">
        <f>RAW_DATA!A383</f>
        <v>ORD-0382</v>
      </c>
      <c r="B373" s="14">
        <v>45155</v>
      </c>
      <c r="C373" s="14">
        <v>45158</v>
      </c>
      <c r="D373" s="15" t="s">
        <v>578</v>
      </c>
      <c r="E373" s="15" t="s">
        <v>573</v>
      </c>
      <c r="F373" s="15" t="str">
        <f>RAW_DATA!F383</f>
        <v>WH-C</v>
      </c>
      <c r="G373" s="15">
        <f>RAW_DATA!G383</f>
        <v>334</v>
      </c>
      <c r="H373" s="15">
        <f>RAW_DATA!H383</f>
        <v>334</v>
      </c>
      <c r="I373" s="23">
        <f>RAW_DATA!I383</f>
        <v>11.36</v>
      </c>
      <c r="J373" s="23">
        <f>RAW_DATA!J383</f>
        <v>6.34</v>
      </c>
      <c r="K373" s="15">
        <f>RAW_DATA!K383</f>
        <v>3</v>
      </c>
      <c r="L373" s="23">
        <f>RAW_DATA!L383</f>
        <v>3031.07</v>
      </c>
      <c r="M373" s="15">
        <f t="shared" si="10"/>
        <v>3</v>
      </c>
      <c r="N373" s="15" t="str">
        <f t="shared" si="11"/>
        <v>On Time</v>
      </c>
    </row>
    <row r="374" spans="1:14" hidden="1" x14ac:dyDescent="0.3">
      <c r="A374" s="16" t="str">
        <f>RAW_DATA!A384</f>
        <v>ORD-0383</v>
      </c>
      <c r="B374" s="17">
        <v>45058</v>
      </c>
      <c r="C374" s="17">
        <v>45061</v>
      </c>
      <c r="D374" s="18" t="s">
        <v>571</v>
      </c>
      <c r="E374" s="18" t="s">
        <v>573</v>
      </c>
      <c r="F374" s="18" t="str">
        <f>RAW_DATA!F384</f>
        <v>WH-D</v>
      </c>
      <c r="G374" s="18">
        <f>RAW_DATA!G384</f>
        <v>32</v>
      </c>
      <c r="H374" s="18">
        <f>RAW_DATA!H384</f>
        <v>32</v>
      </c>
      <c r="I374" s="24">
        <f>RAW_DATA!I384</f>
        <v>15.52</v>
      </c>
      <c r="J374" s="24">
        <f>RAW_DATA!J384</f>
        <v>9.6999999999999993</v>
      </c>
      <c r="K374" s="18">
        <f>RAW_DATA!K384</f>
        <v>4</v>
      </c>
      <c r="L374" s="24">
        <f>RAW_DATA!L384</f>
        <v>428.88</v>
      </c>
      <c r="M374" s="18">
        <f t="shared" si="10"/>
        <v>3</v>
      </c>
      <c r="N374" s="18" t="str">
        <f t="shared" si="11"/>
        <v>On Time</v>
      </c>
    </row>
    <row r="375" spans="1:14" x14ac:dyDescent="0.3">
      <c r="A375" s="13" t="str">
        <f>RAW_DATA!A385</f>
        <v>ORD-0384</v>
      </c>
      <c r="B375" s="14">
        <v>45078</v>
      </c>
      <c r="C375" s="14">
        <v>45080</v>
      </c>
      <c r="D375" s="15" t="s">
        <v>570</v>
      </c>
      <c r="E375" s="15" t="s">
        <v>576</v>
      </c>
      <c r="F375" s="15" t="str">
        <f>RAW_DATA!F385</f>
        <v>WH-A</v>
      </c>
      <c r="G375" s="15">
        <f>RAW_DATA!G385</f>
        <v>184</v>
      </c>
      <c r="H375" s="15">
        <f>RAW_DATA!H385</f>
        <v>184</v>
      </c>
      <c r="I375" s="23">
        <f>RAW_DATA!I385</f>
        <v>27.38</v>
      </c>
      <c r="J375" s="23">
        <f>RAW_DATA!J385</f>
        <v>15.98</v>
      </c>
      <c r="K375" s="15">
        <f>RAW_DATA!K385</f>
        <v>7</v>
      </c>
      <c r="L375" s="23">
        <f>RAW_DATA!L385</f>
        <v>4333.34</v>
      </c>
      <c r="M375" s="15">
        <f t="shared" si="10"/>
        <v>2</v>
      </c>
      <c r="N375" s="15" t="str">
        <f t="shared" si="11"/>
        <v>On Time</v>
      </c>
    </row>
    <row r="376" spans="1:14" hidden="1" x14ac:dyDescent="0.3">
      <c r="A376" s="16" t="str">
        <f>RAW_DATA!A386</f>
        <v>ORD-0385</v>
      </c>
      <c r="B376" s="17">
        <v>45270</v>
      </c>
      <c r="C376" s="17">
        <v>45271</v>
      </c>
      <c r="D376" s="15" t="s">
        <v>578</v>
      </c>
      <c r="E376" s="18" t="s">
        <v>573</v>
      </c>
      <c r="F376" s="18" t="str">
        <f>RAW_DATA!F386</f>
        <v>WH-B</v>
      </c>
      <c r="G376" s="18">
        <f>RAW_DATA!G386</f>
        <v>370</v>
      </c>
      <c r="H376" s="18">
        <f>RAW_DATA!H386</f>
        <v>370</v>
      </c>
      <c r="I376" s="24">
        <f>RAW_DATA!I386</f>
        <v>10.35</v>
      </c>
      <c r="J376" s="24">
        <f>RAW_DATA!J386</f>
        <v>6.81</v>
      </c>
      <c r="K376" s="18">
        <f>RAW_DATA!K386</f>
        <v>3</v>
      </c>
      <c r="L376" s="24">
        <f>RAW_DATA!L386</f>
        <v>3330.15</v>
      </c>
      <c r="M376" s="18">
        <f t="shared" si="10"/>
        <v>1</v>
      </c>
      <c r="N376" s="18" t="str">
        <f t="shared" si="11"/>
        <v>On Time</v>
      </c>
    </row>
    <row r="377" spans="1:14" hidden="1" x14ac:dyDescent="0.3">
      <c r="A377" s="13" t="str">
        <f>RAW_DATA!A387</f>
        <v>ORD-0386</v>
      </c>
      <c r="B377" s="14">
        <v>44939</v>
      </c>
      <c r="C377" s="14">
        <v>44942</v>
      </c>
      <c r="D377" s="15" t="s">
        <v>571</v>
      </c>
      <c r="E377" s="15" t="s">
        <v>573</v>
      </c>
      <c r="F377" s="15" t="str">
        <f>RAW_DATA!F387</f>
        <v>WH-B</v>
      </c>
      <c r="G377" s="15">
        <f>RAW_DATA!G387</f>
        <v>39</v>
      </c>
      <c r="H377" s="15">
        <f>RAW_DATA!H387</f>
        <v>39</v>
      </c>
      <c r="I377" s="23">
        <f>RAW_DATA!I387</f>
        <v>9.99</v>
      </c>
      <c r="J377" s="23">
        <f>RAW_DATA!J387</f>
        <v>7.08</v>
      </c>
      <c r="K377" s="15">
        <f>RAW_DATA!K387</f>
        <v>4</v>
      </c>
      <c r="L377" s="23">
        <f>RAW_DATA!L387</f>
        <v>340.97</v>
      </c>
      <c r="M377" s="15">
        <f t="shared" si="10"/>
        <v>3</v>
      </c>
      <c r="N377" s="15" t="str">
        <f t="shared" si="11"/>
        <v>On Time</v>
      </c>
    </row>
    <row r="378" spans="1:14" hidden="1" x14ac:dyDescent="0.3">
      <c r="A378" s="16" t="str">
        <f>RAW_DATA!A388</f>
        <v>ORD-0387</v>
      </c>
      <c r="B378" s="17">
        <v>45125</v>
      </c>
      <c r="C378" s="17">
        <v>45129</v>
      </c>
      <c r="D378" s="18" t="s">
        <v>572</v>
      </c>
      <c r="E378" s="18" t="s">
        <v>575</v>
      </c>
      <c r="F378" s="18" t="str">
        <f>RAW_DATA!F388</f>
        <v>WH-D</v>
      </c>
      <c r="G378" s="18">
        <f>RAW_DATA!G388</f>
        <v>241</v>
      </c>
      <c r="H378" s="18">
        <f>RAW_DATA!H388</f>
        <v>241</v>
      </c>
      <c r="I378" s="24">
        <f>RAW_DATA!I388</f>
        <v>15.51</v>
      </c>
      <c r="J378" s="24">
        <f>RAW_DATA!J388</f>
        <v>8.9</v>
      </c>
      <c r="K378" s="18">
        <f>RAW_DATA!K388</f>
        <v>5</v>
      </c>
      <c r="L378" s="24">
        <f>RAW_DATA!L388</f>
        <v>1938</v>
      </c>
      <c r="M378" s="18">
        <f t="shared" si="10"/>
        <v>4</v>
      </c>
      <c r="N378" s="18" t="str">
        <f t="shared" si="11"/>
        <v>On Time</v>
      </c>
    </row>
    <row r="379" spans="1:14" hidden="1" x14ac:dyDescent="0.3">
      <c r="A379" s="13" t="str">
        <f>RAW_DATA!A389</f>
        <v>ORD-0388</v>
      </c>
      <c r="B379" s="14">
        <v>45285</v>
      </c>
      <c r="C379" s="14">
        <v>45288</v>
      </c>
      <c r="D379" s="15" t="s">
        <v>569</v>
      </c>
      <c r="E379" s="15" t="s">
        <v>577</v>
      </c>
      <c r="F379" s="15" t="str">
        <f>RAW_DATA!F389</f>
        <v>WH-A</v>
      </c>
      <c r="G379" s="15">
        <f>RAW_DATA!G389</f>
        <v>277</v>
      </c>
      <c r="H379" s="15">
        <f>RAW_DATA!H389</f>
        <v>277</v>
      </c>
      <c r="I379" s="23">
        <f>RAW_DATA!I389</f>
        <v>7.63</v>
      </c>
      <c r="J379" s="23">
        <f>RAW_DATA!J389</f>
        <v>4.66</v>
      </c>
      <c r="K379" s="15">
        <f>RAW_DATA!K389</f>
        <v>4</v>
      </c>
      <c r="L379" s="23">
        <f>RAW_DATA!L389</f>
        <v>1228.74</v>
      </c>
      <c r="M379" s="15">
        <f t="shared" si="10"/>
        <v>3</v>
      </c>
      <c r="N379" s="15" t="str">
        <f t="shared" si="11"/>
        <v>On Time</v>
      </c>
    </row>
    <row r="380" spans="1:14" x14ac:dyDescent="0.3">
      <c r="A380" s="16" t="str">
        <f>RAW_DATA!A390</f>
        <v>ORD-0389</v>
      </c>
      <c r="B380" s="17">
        <v>45265</v>
      </c>
      <c r="C380" s="17">
        <v>45267</v>
      </c>
      <c r="D380" s="18" t="s">
        <v>570</v>
      </c>
      <c r="E380" s="18" t="s">
        <v>576</v>
      </c>
      <c r="F380" s="18" t="str">
        <f>RAW_DATA!F390</f>
        <v>WH-D</v>
      </c>
      <c r="G380" s="18">
        <f>RAW_DATA!G390</f>
        <v>293</v>
      </c>
      <c r="H380" s="18">
        <f>RAW_DATA!H390</f>
        <v>293</v>
      </c>
      <c r="I380" s="24">
        <f>RAW_DATA!I390</f>
        <v>24.96</v>
      </c>
      <c r="J380" s="24">
        <f>RAW_DATA!J390</f>
        <v>17.71</v>
      </c>
      <c r="K380" s="18">
        <f>RAW_DATA!K390</f>
        <v>7</v>
      </c>
      <c r="L380" s="24">
        <f>RAW_DATA!L390</f>
        <v>7314.87</v>
      </c>
      <c r="M380" s="18">
        <f t="shared" si="10"/>
        <v>2</v>
      </c>
      <c r="N380" s="18" t="str">
        <f t="shared" si="11"/>
        <v>On Time</v>
      </c>
    </row>
    <row r="381" spans="1:14" hidden="1" x14ac:dyDescent="0.3">
      <c r="A381" s="13" t="str">
        <f>RAW_DATA!A391</f>
        <v>ORD-0390</v>
      </c>
      <c r="B381" s="14">
        <v>45273</v>
      </c>
      <c r="C381" s="14">
        <v>45276</v>
      </c>
      <c r="D381" s="15" t="s">
        <v>579</v>
      </c>
      <c r="E381" s="15" t="s">
        <v>574</v>
      </c>
      <c r="F381" s="15" t="str">
        <f>RAW_DATA!F391</f>
        <v>WH-C</v>
      </c>
      <c r="G381" s="15">
        <f>RAW_DATA!G391</f>
        <v>351</v>
      </c>
      <c r="H381" s="15">
        <f>RAW_DATA!H391</f>
        <v>351</v>
      </c>
      <c r="I381" s="23">
        <f>RAW_DATA!I391</f>
        <v>10.96</v>
      </c>
      <c r="J381" s="23">
        <f>RAW_DATA!J391</f>
        <v>7.24</v>
      </c>
      <c r="K381" s="15">
        <f>RAW_DATA!K391</f>
        <v>3</v>
      </c>
      <c r="L381" s="23">
        <f>RAW_DATA!L391</f>
        <v>3133.46</v>
      </c>
      <c r="M381" s="15">
        <f t="shared" si="10"/>
        <v>3</v>
      </c>
      <c r="N381" s="15" t="str">
        <f t="shared" si="11"/>
        <v>On Time</v>
      </c>
    </row>
    <row r="382" spans="1:14" hidden="1" x14ac:dyDescent="0.3">
      <c r="A382" s="16" t="str">
        <f>RAW_DATA!A392</f>
        <v>ORD-0391</v>
      </c>
      <c r="B382" s="17">
        <v>45220</v>
      </c>
      <c r="C382" s="17">
        <v>45221</v>
      </c>
      <c r="D382" s="18" t="s">
        <v>569</v>
      </c>
      <c r="E382" s="18" t="s">
        <v>573</v>
      </c>
      <c r="F382" s="18" t="str">
        <f>RAW_DATA!F392</f>
        <v>WH-A</v>
      </c>
      <c r="G382" s="18">
        <f>RAW_DATA!G392</f>
        <v>176</v>
      </c>
      <c r="H382" s="18">
        <f>RAW_DATA!H392</f>
        <v>176</v>
      </c>
      <c r="I382" s="24">
        <f>RAW_DATA!I392</f>
        <v>14.94</v>
      </c>
      <c r="J382" s="24">
        <f>RAW_DATA!J392</f>
        <v>10.39</v>
      </c>
      <c r="K382" s="18">
        <f>RAW_DATA!K392</f>
        <v>4</v>
      </c>
      <c r="L382" s="24">
        <f>RAW_DATA!L392</f>
        <v>1878.09</v>
      </c>
      <c r="M382" s="18">
        <f t="shared" si="10"/>
        <v>1</v>
      </c>
      <c r="N382" s="18" t="str">
        <f t="shared" si="11"/>
        <v>On Time</v>
      </c>
    </row>
    <row r="383" spans="1:14" hidden="1" x14ac:dyDescent="0.3">
      <c r="A383" s="13" t="str">
        <f>RAW_DATA!A393</f>
        <v>ORD-0392</v>
      </c>
      <c r="B383" s="14">
        <v>45040</v>
      </c>
      <c r="C383" s="14">
        <v>45042</v>
      </c>
      <c r="D383" s="15" t="s">
        <v>198</v>
      </c>
      <c r="E383" s="15" t="s">
        <v>574</v>
      </c>
      <c r="F383" s="15" t="str">
        <f>RAW_DATA!F393</f>
        <v>WH-B</v>
      </c>
      <c r="G383" s="15">
        <f>RAW_DATA!G393</f>
        <v>119</v>
      </c>
      <c r="H383" s="15">
        <f>RAW_DATA!H393</f>
        <v>119</v>
      </c>
      <c r="I383" s="23">
        <f>RAW_DATA!I393</f>
        <v>9.6199999999999992</v>
      </c>
      <c r="J383" s="23">
        <f>RAW_DATA!J393</f>
        <v>6.38</v>
      </c>
      <c r="K383" s="15">
        <f>RAW_DATA!K393</f>
        <v>2</v>
      </c>
      <c r="L383" s="23">
        <f>RAW_DATA!L393</f>
        <v>708.07</v>
      </c>
      <c r="M383" s="15">
        <f t="shared" si="10"/>
        <v>2</v>
      </c>
      <c r="N383" s="15" t="str">
        <f t="shared" si="11"/>
        <v>On Time</v>
      </c>
    </row>
    <row r="384" spans="1:14" x14ac:dyDescent="0.3">
      <c r="A384" s="16" t="str">
        <f>RAW_DATA!A394</f>
        <v>ORD-0393</v>
      </c>
      <c r="B384" s="17">
        <v>45075</v>
      </c>
      <c r="C384" s="17">
        <v>45078</v>
      </c>
      <c r="D384" s="18" t="s">
        <v>570</v>
      </c>
      <c r="E384" s="18" t="s">
        <v>577</v>
      </c>
      <c r="F384" s="18" t="str">
        <f>RAW_DATA!F394</f>
        <v>WH-A</v>
      </c>
      <c r="G384" s="18">
        <f>RAW_DATA!G394</f>
        <v>70</v>
      </c>
      <c r="H384" s="18">
        <f>RAW_DATA!H394</f>
        <v>70</v>
      </c>
      <c r="I384" s="24">
        <f>RAW_DATA!I394</f>
        <v>6.89</v>
      </c>
      <c r="J384" s="24">
        <f>RAW_DATA!J394</f>
        <v>5.0999999999999996</v>
      </c>
      <c r="K384" s="18">
        <f>RAW_DATA!K394</f>
        <v>7</v>
      </c>
      <c r="L384" s="24">
        <f>RAW_DATA!L394</f>
        <v>397.8</v>
      </c>
      <c r="M384" s="18">
        <f t="shared" si="10"/>
        <v>3</v>
      </c>
      <c r="N384" s="18" t="str">
        <f t="shared" si="11"/>
        <v>On Time</v>
      </c>
    </row>
    <row r="385" spans="1:14" hidden="1" x14ac:dyDescent="0.3">
      <c r="A385" s="13" t="str">
        <f>RAW_DATA!A395</f>
        <v>ORD-0394</v>
      </c>
      <c r="B385" s="14">
        <v>45244</v>
      </c>
      <c r="C385" s="14">
        <v>45246</v>
      </c>
      <c r="D385" s="15" t="s">
        <v>572</v>
      </c>
      <c r="E385" s="15" t="s">
        <v>573</v>
      </c>
      <c r="F385" s="15" t="str">
        <f>RAW_DATA!F395</f>
        <v>WH-C</v>
      </c>
      <c r="G385" s="15">
        <f>RAW_DATA!G395</f>
        <v>182</v>
      </c>
      <c r="H385" s="15">
        <f>RAW_DATA!H395</f>
        <v>182</v>
      </c>
      <c r="I385" s="23">
        <f>RAW_DATA!I395</f>
        <v>11.96</v>
      </c>
      <c r="J385" s="23">
        <f>RAW_DATA!J395</f>
        <v>8.16</v>
      </c>
      <c r="K385" s="15">
        <f>RAW_DATA!K395</f>
        <v>5</v>
      </c>
      <c r="L385" s="23">
        <f>RAW_DATA!L395</f>
        <v>1954.53</v>
      </c>
      <c r="M385" s="15">
        <f t="shared" si="10"/>
        <v>2</v>
      </c>
      <c r="N385" s="15" t="str">
        <f t="shared" si="11"/>
        <v>On Time</v>
      </c>
    </row>
    <row r="386" spans="1:14" hidden="1" x14ac:dyDescent="0.3">
      <c r="A386" s="16" t="str">
        <f>RAW_DATA!A396</f>
        <v>ORD-0395</v>
      </c>
      <c r="B386" s="17">
        <v>45113</v>
      </c>
      <c r="C386" s="17">
        <v>45115</v>
      </c>
      <c r="D386" s="18" t="s">
        <v>198</v>
      </c>
      <c r="E386" s="18" t="s">
        <v>577</v>
      </c>
      <c r="F386" s="18" t="str">
        <f>RAW_DATA!F396</f>
        <v>WH-E</v>
      </c>
      <c r="G386" s="18">
        <f>RAW_DATA!G396</f>
        <v>106</v>
      </c>
      <c r="H386" s="18">
        <f>RAW_DATA!H396</f>
        <v>89</v>
      </c>
      <c r="I386" s="24">
        <f>RAW_DATA!I396</f>
        <v>7.63</v>
      </c>
      <c r="J386" s="24">
        <f>RAW_DATA!J396</f>
        <v>5.28</v>
      </c>
      <c r="K386" s="18">
        <f>RAW_DATA!K396</f>
        <v>2</v>
      </c>
      <c r="L386" s="24">
        <f>RAW_DATA!L396</f>
        <v>718.91</v>
      </c>
      <c r="M386" s="18">
        <f t="shared" si="10"/>
        <v>2</v>
      </c>
      <c r="N386" s="18" t="str">
        <f t="shared" si="11"/>
        <v>On Time</v>
      </c>
    </row>
    <row r="387" spans="1:14" hidden="1" x14ac:dyDescent="0.3">
      <c r="A387" s="13" t="str">
        <f>RAW_DATA!A397</f>
        <v>ORD-0396</v>
      </c>
      <c r="B387" s="14">
        <v>45274</v>
      </c>
      <c r="C387" s="14">
        <v>45276</v>
      </c>
      <c r="D387" s="15" t="s">
        <v>579</v>
      </c>
      <c r="E387" s="15" t="s">
        <v>575</v>
      </c>
      <c r="F387" s="15" t="str">
        <f>RAW_DATA!F397</f>
        <v>WH-B</v>
      </c>
      <c r="G387" s="15">
        <f>RAW_DATA!G397</f>
        <v>256</v>
      </c>
      <c r="H387" s="15">
        <f>RAW_DATA!H397</f>
        <v>256</v>
      </c>
      <c r="I387" s="23">
        <f>RAW_DATA!I397</f>
        <v>18.97</v>
      </c>
      <c r="J387" s="23">
        <f>RAW_DATA!J397</f>
        <v>12.28</v>
      </c>
      <c r="K387" s="15">
        <f>RAW_DATA!K397</f>
        <v>3</v>
      </c>
      <c r="L387" s="23">
        <f>RAW_DATA!L397</f>
        <v>3034.59</v>
      </c>
      <c r="M387" s="15">
        <f t="shared" ref="M387:M450" si="12">C387-B387</f>
        <v>2</v>
      </c>
      <c r="N387" s="15" t="str">
        <f t="shared" ref="N387:N450" si="13">IF(M387&lt;=K387,"On Time", "Late")</f>
        <v>On Time</v>
      </c>
    </row>
    <row r="388" spans="1:14" hidden="1" x14ac:dyDescent="0.3">
      <c r="A388" s="16" t="str">
        <f>RAW_DATA!A398</f>
        <v>ORD-0397</v>
      </c>
      <c r="B388" s="17">
        <v>45202</v>
      </c>
      <c r="C388" s="17">
        <v>45203</v>
      </c>
      <c r="D388" s="18" t="s">
        <v>569</v>
      </c>
      <c r="E388" s="18" t="s">
        <v>575</v>
      </c>
      <c r="F388" s="18" t="str">
        <f>RAW_DATA!F398</f>
        <v>WH-B</v>
      </c>
      <c r="G388" s="18">
        <f>RAW_DATA!G398</f>
        <v>392</v>
      </c>
      <c r="H388" s="18">
        <f>RAW_DATA!H398</f>
        <v>392</v>
      </c>
      <c r="I388" s="24">
        <f>RAW_DATA!I398</f>
        <v>12.17</v>
      </c>
      <c r="J388" s="24">
        <f>RAW_DATA!J398</f>
        <v>7.93</v>
      </c>
      <c r="K388" s="18">
        <f>RAW_DATA!K398</f>
        <v>4</v>
      </c>
      <c r="L388" s="24">
        <f>RAW_DATA!L398</f>
        <v>2855.89</v>
      </c>
      <c r="M388" s="18">
        <f t="shared" si="12"/>
        <v>1</v>
      </c>
      <c r="N388" s="18" t="str">
        <f t="shared" si="13"/>
        <v>On Time</v>
      </c>
    </row>
    <row r="389" spans="1:14" hidden="1" x14ac:dyDescent="0.3">
      <c r="A389" s="13" t="str">
        <f>RAW_DATA!A399</f>
        <v>ORD-0398</v>
      </c>
      <c r="B389" s="14">
        <v>44945</v>
      </c>
      <c r="C389" s="14">
        <v>44949</v>
      </c>
      <c r="D389" s="15" t="s">
        <v>571</v>
      </c>
      <c r="E389" s="15" t="s">
        <v>577</v>
      </c>
      <c r="F389" s="15" t="str">
        <f>RAW_DATA!F399</f>
        <v>WH-B</v>
      </c>
      <c r="G389" s="15">
        <f>RAW_DATA!G399</f>
        <v>354</v>
      </c>
      <c r="H389" s="15">
        <f>RAW_DATA!H399</f>
        <v>354</v>
      </c>
      <c r="I389" s="23">
        <f>RAW_DATA!I399</f>
        <v>6.12</v>
      </c>
      <c r="J389" s="23">
        <f>RAW_DATA!J399</f>
        <v>3.64</v>
      </c>
      <c r="K389" s="15">
        <f>RAW_DATA!K399</f>
        <v>4</v>
      </c>
      <c r="L389" s="23">
        <f>RAW_DATA!L399</f>
        <v>1756.68</v>
      </c>
      <c r="M389" s="15">
        <f t="shared" si="12"/>
        <v>4</v>
      </c>
      <c r="N389" s="15" t="str">
        <f t="shared" si="13"/>
        <v>On Time</v>
      </c>
    </row>
    <row r="390" spans="1:14" hidden="1" x14ac:dyDescent="0.3">
      <c r="A390" s="16" t="str">
        <f>RAW_DATA!A400</f>
        <v>ORD-0399</v>
      </c>
      <c r="B390" s="17">
        <v>45183</v>
      </c>
      <c r="C390" s="17">
        <v>45179</v>
      </c>
      <c r="D390" s="18" t="s">
        <v>579</v>
      </c>
      <c r="E390" s="18" t="s">
        <v>574</v>
      </c>
      <c r="F390" s="18" t="str">
        <f>RAW_DATA!F400</f>
        <v>WH-D</v>
      </c>
      <c r="G390" s="18">
        <f>RAW_DATA!G400</f>
        <v>206</v>
      </c>
      <c r="H390" s="18">
        <f>RAW_DATA!H400</f>
        <v>206</v>
      </c>
      <c r="I390" s="24">
        <f>RAW_DATA!I400</f>
        <v>9.58</v>
      </c>
      <c r="J390" s="24">
        <f>RAW_DATA!J400</f>
        <v>6.89</v>
      </c>
      <c r="K390" s="18">
        <f>RAW_DATA!K400</f>
        <v>3</v>
      </c>
      <c r="L390" s="24">
        <f>RAW_DATA!L400</f>
        <v>1964.26</v>
      </c>
      <c r="M390" s="18" t="s">
        <v>581</v>
      </c>
      <c r="N390" s="18" t="s">
        <v>583</v>
      </c>
    </row>
    <row r="391" spans="1:14" hidden="1" x14ac:dyDescent="0.3">
      <c r="A391" s="13" t="str">
        <f>RAW_DATA!A401</f>
        <v>ORD-0400</v>
      </c>
      <c r="B391" s="14">
        <v>45155</v>
      </c>
      <c r="C391" s="14">
        <v>45156</v>
      </c>
      <c r="D391" s="15" t="s">
        <v>198</v>
      </c>
      <c r="E391" s="15" t="s">
        <v>577</v>
      </c>
      <c r="F391" s="15" t="str">
        <f>RAW_DATA!F401</f>
        <v>WH-B</v>
      </c>
      <c r="G391" s="15">
        <f>RAW_DATA!G401</f>
        <v>396</v>
      </c>
      <c r="H391" s="15">
        <f>RAW_DATA!H401</f>
        <v>396</v>
      </c>
      <c r="I391" s="23">
        <f>RAW_DATA!I401</f>
        <v>8.18</v>
      </c>
      <c r="J391" s="23">
        <f>RAW_DATA!J401</f>
        <v>4.57</v>
      </c>
      <c r="K391" s="15">
        <f>RAW_DATA!K401</f>
        <v>2</v>
      </c>
      <c r="L391" s="23">
        <f>RAW_DATA!L401</f>
        <v>2455.58</v>
      </c>
      <c r="M391" s="15">
        <f t="shared" si="12"/>
        <v>1</v>
      </c>
      <c r="N391" s="15" t="str">
        <f t="shared" si="13"/>
        <v>On Time</v>
      </c>
    </row>
    <row r="392" spans="1:14" hidden="1" x14ac:dyDescent="0.3">
      <c r="A392" s="16" t="str">
        <f>RAW_DATA!A402</f>
        <v>ORD-0401</v>
      </c>
      <c r="B392" s="17">
        <v>45116</v>
      </c>
      <c r="C392" s="17">
        <v>45118</v>
      </c>
      <c r="D392" s="18" t="s">
        <v>572</v>
      </c>
      <c r="E392" s="18" t="s">
        <v>573</v>
      </c>
      <c r="F392" s="18" t="str">
        <f>RAW_DATA!F402</f>
        <v>WH-C</v>
      </c>
      <c r="G392" s="18">
        <f>RAW_DATA!G402</f>
        <v>285</v>
      </c>
      <c r="H392" s="18">
        <f>RAW_DATA!H402</f>
        <v>285</v>
      </c>
      <c r="I392" s="24">
        <f>RAW_DATA!I402</f>
        <v>12.2</v>
      </c>
      <c r="J392" s="24">
        <f>RAW_DATA!J402</f>
        <v>7.86</v>
      </c>
      <c r="K392" s="18">
        <f>RAW_DATA!K402</f>
        <v>5</v>
      </c>
      <c r="L392" s="24">
        <f>RAW_DATA!L402</f>
        <v>2627.16</v>
      </c>
      <c r="M392" s="18">
        <f t="shared" si="12"/>
        <v>2</v>
      </c>
      <c r="N392" s="18" t="str">
        <f t="shared" si="13"/>
        <v>On Time</v>
      </c>
    </row>
    <row r="393" spans="1:14" hidden="1" x14ac:dyDescent="0.3">
      <c r="A393" s="13" t="str">
        <f>RAW_DATA!A403</f>
        <v>ORD-0402</v>
      </c>
      <c r="B393" s="14">
        <v>44979</v>
      </c>
      <c r="C393" s="14">
        <v>44982</v>
      </c>
      <c r="D393" s="15" t="s">
        <v>578</v>
      </c>
      <c r="E393" s="15" t="s">
        <v>573</v>
      </c>
      <c r="F393" s="15" t="str">
        <f>RAW_DATA!F403</f>
        <v>WH-C</v>
      </c>
      <c r="G393" s="15">
        <f>RAW_DATA!G403</f>
        <v>344</v>
      </c>
      <c r="H393" s="15">
        <f>RAW_DATA!H403</f>
        <v>344</v>
      </c>
      <c r="I393" s="23">
        <f>RAW_DATA!I403</f>
        <v>15.61</v>
      </c>
      <c r="J393" s="23">
        <f>RAW_DATA!J403</f>
        <v>9.41</v>
      </c>
      <c r="K393" s="15">
        <f>RAW_DATA!K403</f>
        <v>3</v>
      </c>
      <c r="L393" s="23">
        <f>RAW_DATA!L403</f>
        <v>3970.59</v>
      </c>
      <c r="M393" s="15">
        <f t="shared" si="12"/>
        <v>3</v>
      </c>
      <c r="N393" s="15" t="str">
        <f t="shared" si="13"/>
        <v>On Time</v>
      </c>
    </row>
    <row r="394" spans="1:14" hidden="1" x14ac:dyDescent="0.3">
      <c r="A394" s="16" t="str">
        <f>RAW_DATA!A404</f>
        <v>ORD-0403</v>
      </c>
      <c r="B394" s="17">
        <v>45114</v>
      </c>
      <c r="C394" s="17">
        <v>45115</v>
      </c>
      <c r="D394" s="18" t="s">
        <v>198</v>
      </c>
      <c r="E394" s="18" t="s">
        <v>576</v>
      </c>
      <c r="F394" s="18" t="str">
        <f>RAW_DATA!F404</f>
        <v>WH-D</v>
      </c>
      <c r="G394" s="18">
        <f>RAW_DATA!G404</f>
        <v>284</v>
      </c>
      <c r="H394" s="18">
        <f>RAW_DATA!H404</f>
        <v>284</v>
      </c>
      <c r="I394" s="24">
        <f>RAW_DATA!I404</f>
        <v>27.67</v>
      </c>
      <c r="J394" s="24">
        <f>RAW_DATA!J404</f>
        <v>16.45</v>
      </c>
      <c r="K394" s="18">
        <f>RAW_DATA!K404</f>
        <v>2</v>
      </c>
      <c r="L394" s="24">
        <f>RAW_DATA!L404</f>
        <v>5342.23</v>
      </c>
      <c r="M394" s="18">
        <f t="shared" si="12"/>
        <v>1</v>
      </c>
      <c r="N394" s="18" t="str">
        <f t="shared" si="13"/>
        <v>On Time</v>
      </c>
    </row>
    <row r="395" spans="1:14" hidden="1" x14ac:dyDescent="0.3">
      <c r="A395" s="13" t="str">
        <f>RAW_DATA!A405</f>
        <v>ORD-0404</v>
      </c>
      <c r="B395" s="14">
        <v>45236</v>
      </c>
      <c r="C395" s="14">
        <v>45238</v>
      </c>
      <c r="D395" s="15" t="s">
        <v>211</v>
      </c>
      <c r="E395" s="15" t="s">
        <v>576</v>
      </c>
      <c r="F395" s="15" t="str">
        <f>RAW_DATA!F405</f>
        <v>WH-D</v>
      </c>
      <c r="G395" s="15">
        <f>RAW_DATA!G405</f>
        <v>245</v>
      </c>
      <c r="H395" s="15">
        <f>RAW_DATA!H405</f>
        <v>245</v>
      </c>
      <c r="I395" s="23">
        <f>RAW_DATA!I405</f>
        <v>16.93</v>
      </c>
      <c r="J395" s="23">
        <f>RAW_DATA!J405</f>
        <v>11.49</v>
      </c>
      <c r="K395" s="15">
        <f>RAW_DATA!K405</f>
        <v>6</v>
      </c>
      <c r="L395" s="23">
        <f>RAW_DATA!L405</f>
        <v>2890.8</v>
      </c>
      <c r="M395" s="15">
        <f t="shared" si="12"/>
        <v>2</v>
      </c>
      <c r="N395" s="15" t="str">
        <f t="shared" si="13"/>
        <v>On Time</v>
      </c>
    </row>
    <row r="396" spans="1:14" hidden="1" x14ac:dyDescent="0.3">
      <c r="A396" s="16" t="str">
        <f>RAW_DATA!A406</f>
        <v>ORD-0405</v>
      </c>
      <c r="B396" s="17">
        <v>45235</v>
      </c>
      <c r="C396" s="17">
        <v>45236</v>
      </c>
      <c r="D396" s="18" t="s">
        <v>198</v>
      </c>
      <c r="E396" s="18" t="s">
        <v>574</v>
      </c>
      <c r="F396" s="18" t="str">
        <f>RAW_DATA!F406</f>
        <v>WH-C</v>
      </c>
      <c r="G396" s="18">
        <f>RAW_DATA!G406</f>
        <v>358</v>
      </c>
      <c r="H396" s="18">
        <f>RAW_DATA!H406</f>
        <v>358</v>
      </c>
      <c r="I396" s="24">
        <f>RAW_DATA!I406</f>
        <v>10.29</v>
      </c>
      <c r="J396" s="24">
        <f>RAW_DATA!J406</f>
        <v>7.14</v>
      </c>
      <c r="K396" s="18">
        <f>RAW_DATA!K406</f>
        <v>2</v>
      </c>
      <c r="L396" s="24">
        <f>RAW_DATA!L406</f>
        <v>3039</v>
      </c>
      <c r="M396" s="18">
        <f t="shared" si="12"/>
        <v>1</v>
      </c>
      <c r="N396" s="18" t="str">
        <f t="shared" si="13"/>
        <v>On Time</v>
      </c>
    </row>
    <row r="397" spans="1:14" x14ac:dyDescent="0.3">
      <c r="A397" s="13" t="str">
        <f>RAW_DATA!A407</f>
        <v>ORD-0406</v>
      </c>
      <c r="B397" s="14">
        <v>45229</v>
      </c>
      <c r="C397" s="14">
        <v>45236</v>
      </c>
      <c r="D397" s="15" t="s">
        <v>570</v>
      </c>
      <c r="E397" s="15" t="s">
        <v>576</v>
      </c>
      <c r="F397" s="15" t="str">
        <f>RAW_DATA!F407</f>
        <v>WH-B</v>
      </c>
      <c r="G397" s="15">
        <f>RAW_DATA!G407</f>
        <v>230</v>
      </c>
      <c r="H397" s="15">
        <f>RAW_DATA!H407</f>
        <v>166</v>
      </c>
      <c r="I397" s="23">
        <f>RAW_DATA!I407</f>
        <v>17.53</v>
      </c>
      <c r="J397" s="23">
        <f>RAW_DATA!J407</f>
        <v>11.72</v>
      </c>
      <c r="K397" s="15">
        <f>RAW_DATA!K407</f>
        <v>7</v>
      </c>
      <c r="L397" s="26">
        <f>RAW_DATA!L407</f>
        <v>0</v>
      </c>
      <c r="M397" s="15">
        <f t="shared" si="12"/>
        <v>7</v>
      </c>
      <c r="N397" s="15" t="str">
        <f t="shared" si="13"/>
        <v>On Time</v>
      </c>
    </row>
    <row r="398" spans="1:14" hidden="1" x14ac:dyDescent="0.3">
      <c r="A398" s="16" t="str">
        <f>RAW_DATA!A408</f>
        <v>ORD-0407</v>
      </c>
      <c r="B398" s="17">
        <v>44955</v>
      </c>
      <c r="C398" s="17">
        <v>44956</v>
      </c>
      <c r="D398" s="15" t="s">
        <v>578</v>
      </c>
      <c r="E398" s="18" t="s">
        <v>577</v>
      </c>
      <c r="F398" s="18" t="str">
        <f>RAW_DATA!F408</f>
        <v>WH-B</v>
      </c>
      <c r="G398" s="18">
        <f>RAW_DATA!G408</f>
        <v>284</v>
      </c>
      <c r="H398" s="18">
        <f>RAW_DATA!H408</f>
        <v>284</v>
      </c>
      <c r="I398" s="24">
        <f>RAW_DATA!I408</f>
        <v>6.96</v>
      </c>
      <c r="J398" s="24">
        <f>RAW_DATA!J408</f>
        <v>4.6100000000000003</v>
      </c>
      <c r="K398" s="18">
        <f>RAW_DATA!K408</f>
        <v>3</v>
      </c>
      <c r="L398" s="24">
        <f>RAW_DATA!L408</f>
        <v>1192.94</v>
      </c>
      <c r="M398" s="18">
        <f t="shared" si="12"/>
        <v>1</v>
      </c>
      <c r="N398" s="18" t="str">
        <f t="shared" si="13"/>
        <v>On Time</v>
      </c>
    </row>
    <row r="399" spans="1:14" hidden="1" x14ac:dyDescent="0.3">
      <c r="A399" s="13" t="str">
        <f>RAW_DATA!A409</f>
        <v>ORD-0408</v>
      </c>
      <c r="B399" s="14">
        <v>45156</v>
      </c>
      <c r="C399" s="14">
        <v>45158</v>
      </c>
      <c r="D399" s="15" t="s">
        <v>579</v>
      </c>
      <c r="E399" s="15" t="s">
        <v>573</v>
      </c>
      <c r="F399" s="15" t="str">
        <f>RAW_DATA!F409</f>
        <v>WH-B</v>
      </c>
      <c r="G399" s="15">
        <f>RAW_DATA!G409</f>
        <v>266</v>
      </c>
      <c r="H399" s="15">
        <f>RAW_DATA!H409</f>
        <v>266</v>
      </c>
      <c r="I399" s="23" t="str">
        <f>RAW_DATA!I409</f>
        <v>$15.58</v>
      </c>
      <c r="J399" s="23">
        <f>RAW_DATA!J409</f>
        <v>10.44</v>
      </c>
      <c r="K399" s="15">
        <f>RAW_DATA!K409</f>
        <v>3</v>
      </c>
      <c r="L399" s="23">
        <f>RAW_DATA!L409</f>
        <v>3823.34</v>
      </c>
      <c r="M399" s="15">
        <f t="shared" si="12"/>
        <v>2</v>
      </c>
      <c r="N399" s="15" t="str">
        <f t="shared" si="13"/>
        <v>On Time</v>
      </c>
    </row>
    <row r="400" spans="1:14" hidden="1" x14ac:dyDescent="0.3">
      <c r="A400" s="16" t="str">
        <f>RAW_DATA!A410</f>
        <v>ORD-0409</v>
      </c>
      <c r="B400" s="17">
        <v>45062</v>
      </c>
      <c r="C400" s="17">
        <v>45064</v>
      </c>
      <c r="D400" s="18" t="s">
        <v>198</v>
      </c>
      <c r="E400" s="18" t="s">
        <v>577</v>
      </c>
      <c r="F400" s="18" t="str">
        <f>RAW_DATA!F410</f>
        <v>WH-E</v>
      </c>
      <c r="G400" s="18">
        <f>RAW_DATA!G410</f>
        <v>252</v>
      </c>
      <c r="H400" s="18">
        <f>RAW_DATA!H410</f>
        <v>252</v>
      </c>
      <c r="I400" s="24">
        <f>RAW_DATA!I410</f>
        <v>5.05</v>
      </c>
      <c r="J400" s="24">
        <f>RAW_DATA!J410</f>
        <v>3.16</v>
      </c>
      <c r="K400" s="18">
        <f>RAW_DATA!K410</f>
        <v>2</v>
      </c>
      <c r="L400" s="24">
        <f>RAW_DATA!L410</f>
        <v>779.86</v>
      </c>
      <c r="M400" s="18">
        <f t="shared" si="12"/>
        <v>2</v>
      </c>
      <c r="N400" s="18" t="str">
        <f t="shared" si="13"/>
        <v>On Time</v>
      </c>
    </row>
    <row r="401" spans="1:14" hidden="1" x14ac:dyDescent="0.3">
      <c r="A401" s="13" t="str">
        <f>RAW_DATA!A411</f>
        <v>ORD-0410</v>
      </c>
      <c r="B401" s="14">
        <v>45185</v>
      </c>
      <c r="C401" s="14">
        <v>45186</v>
      </c>
      <c r="D401" s="15" t="s">
        <v>578</v>
      </c>
      <c r="E401" s="15" t="s">
        <v>574</v>
      </c>
      <c r="F401" s="15" t="str">
        <f>RAW_DATA!F411</f>
        <v>WH-E</v>
      </c>
      <c r="G401" s="15">
        <f>RAW_DATA!G411</f>
        <v>330</v>
      </c>
      <c r="H401" s="15">
        <f>RAW_DATA!H411</f>
        <v>330</v>
      </c>
      <c r="I401" s="23" t="str">
        <f>RAW_DATA!I411</f>
        <v>$8.68</v>
      </c>
      <c r="J401" s="23">
        <f>RAW_DATA!J411</f>
        <v>5.84</v>
      </c>
      <c r="K401" s="15">
        <f>RAW_DATA!K411</f>
        <v>3</v>
      </c>
      <c r="L401" s="23">
        <f>RAW_DATA!L411</f>
        <v>1779.62</v>
      </c>
      <c r="M401" s="15">
        <f t="shared" si="12"/>
        <v>1</v>
      </c>
      <c r="N401" s="15" t="str">
        <f t="shared" si="13"/>
        <v>On Time</v>
      </c>
    </row>
    <row r="402" spans="1:14" hidden="1" x14ac:dyDescent="0.3">
      <c r="A402" s="16" t="str">
        <f>RAW_DATA!A412</f>
        <v>ORD-0411</v>
      </c>
      <c r="B402" s="17">
        <v>45264</v>
      </c>
      <c r="C402" s="17">
        <v>45265</v>
      </c>
      <c r="D402" s="18" t="s">
        <v>569</v>
      </c>
      <c r="E402" s="18" t="s">
        <v>573</v>
      </c>
      <c r="F402" s="18" t="str">
        <f>RAW_DATA!F412</f>
        <v>WH-D</v>
      </c>
      <c r="G402" s="18">
        <f>RAW_DATA!G412</f>
        <v>367</v>
      </c>
      <c r="H402" s="18">
        <f>RAW_DATA!H412</f>
        <v>367</v>
      </c>
      <c r="I402" s="24">
        <f>RAW_DATA!I412</f>
        <v>13.36</v>
      </c>
      <c r="J402" s="24">
        <f>RAW_DATA!J412</f>
        <v>8.34</v>
      </c>
      <c r="K402" s="18">
        <f>RAW_DATA!K412</f>
        <v>4</v>
      </c>
      <c r="L402" s="24">
        <f>RAW_DATA!L412</f>
        <v>2834.48</v>
      </c>
      <c r="M402" s="18">
        <f t="shared" si="12"/>
        <v>1</v>
      </c>
      <c r="N402" s="18" t="str">
        <f t="shared" si="13"/>
        <v>On Time</v>
      </c>
    </row>
    <row r="403" spans="1:14" hidden="1" x14ac:dyDescent="0.3">
      <c r="A403" s="13" t="str">
        <f>RAW_DATA!A413</f>
        <v>ORD-0412</v>
      </c>
      <c r="B403" s="14">
        <v>45122</v>
      </c>
      <c r="C403" s="14">
        <v>45123</v>
      </c>
      <c r="D403" s="15" t="s">
        <v>571</v>
      </c>
      <c r="E403" s="15" t="s">
        <v>574</v>
      </c>
      <c r="F403" s="15" t="str">
        <f>RAW_DATA!F413</f>
        <v>WH-D</v>
      </c>
      <c r="G403" s="15">
        <f>RAW_DATA!G413</f>
        <v>237</v>
      </c>
      <c r="H403" s="15">
        <f>RAW_DATA!H413</f>
        <v>237</v>
      </c>
      <c r="I403" s="23">
        <f>RAW_DATA!I413</f>
        <v>8.69</v>
      </c>
      <c r="J403" s="23">
        <f>RAW_DATA!J413</f>
        <v>5.18</v>
      </c>
      <c r="K403" s="15">
        <f>RAW_DATA!K413</f>
        <v>4</v>
      </c>
      <c r="L403" s="23">
        <f>RAW_DATA!L413</f>
        <v>1737.67</v>
      </c>
      <c r="M403" s="15">
        <f t="shared" si="12"/>
        <v>1</v>
      </c>
      <c r="N403" s="15" t="str">
        <f t="shared" si="13"/>
        <v>On Time</v>
      </c>
    </row>
    <row r="404" spans="1:14" hidden="1" x14ac:dyDescent="0.3">
      <c r="A404" s="16" t="str">
        <f>RAW_DATA!A414</f>
        <v>ORD-0413</v>
      </c>
      <c r="B404" s="17">
        <v>45136</v>
      </c>
      <c r="C404" s="17">
        <v>45137</v>
      </c>
      <c r="D404" s="18" t="s">
        <v>579</v>
      </c>
      <c r="E404" s="18" t="s">
        <v>577</v>
      </c>
      <c r="F404" s="18" t="str">
        <f>RAW_DATA!F414</f>
        <v>WH-E</v>
      </c>
      <c r="G404" s="18">
        <f>RAW_DATA!G414</f>
        <v>383</v>
      </c>
      <c r="H404" s="18">
        <f>RAW_DATA!H414</f>
        <v>383</v>
      </c>
      <c r="I404" s="24" t="str">
        <f>RAW_DATA!I414</f>
        <v>$4.83</v>
      </c>
      <c r="J404" s="24">
        <f>RAW_DATA!J414</f>
        <v>3.16</v>
      </c>
      <c r="K404" s="18">
        <f>RAW_DATA!K414</f>
        <v>3</v>
      </c>
      <c r="L404" s="24">
        <f>RAW_DATA!L414</f>
        <v>1466.69</v>
      </c>
      <c r="M404" s="18">
        <f t="shared" si="12"/>
        <v>1</v>
      </c>
      <c r="N404" s="18" t="str">
        <f t="shared" si="13"/>
        <v>On Time</v>
      </c>
    </row>
    <row r="405" spans="1:14" hidden="1" x14ac:dyDescent="0.3">
      <c r="A405" s="13" t="str">
        <f>RAW_DATA!A415</f>
        <v>ORD-0414</v>
      </c>
      <c r="B405" s="14">
        <v>45136</v>
      </c>
      <c r="C405" s="14">
        <v>45138</v>
      </c>
      <c r="D405" s="15" t="s">
        <v>571</v>
      </c>
      <c r="E405" s="15" t="s">
        <v>574</v>
      </c>
      <c r="F405" s="15" t="str">
        <f>RAW_DATA!F415</f>
        <v>WH-C</v>
      </c>
      <c r="G405" s="15">
        <f>RAW_DATA!G415</f>
        <v>238</v>
      </c>
      <c r="H405" s="15">
        <f>RAW_DATA!H415</f>
        <v>238</v>
      </c>
      <c r="I405" s="23">
        <f>RAW_DATA!I415</f>
        <v>7.62</v>
      </c>
      <c r="J405" s="23">
        <f>RAW_DATA!J415</f>
        <v>5.49</v>
      </c>
      <c r="K405" s="15">
        <f>RAW_DATA!K415</f>
        <v>4</v>
      </c>
      <c r="L405" s="23">
        <f>RAW_DATA!L415</f>
        <v>1508.02</v>
      </c>
      <c r="M405" s="15">
        <f t="shared" si="12"/>
        <v>2</v>
      </c>
      <c r="N405" s="15" t="str">
        <f t="shared" si="13"/>
        <v>On Time</v>
      </c>
    </row>
    <row r="406" spans="1:14" hidden="1" x14ac:dyDescent="0.3">
      <c r="A406" s="16" t="str">
        <f>RAW_DATA!A416</f>
        <v>ORD-0415</v>
      </c>
      <c r="B406" s="17">
        <v>45275</v>
      </c>
      <c r="C406" s="17">
        <v>45277</v>
      </c>
      <c r="D406" s="18" t="s">
        <v>211</v>
      </c>
      <c r="E406" s="18" t="s">
        <v>577</v>
      </c>
      <c r="F406" s="18" t="str">
        <f>RAW_DATA!F416</f>
        <v>WH-C</v>
      </c>
      <c r="G406" s="18">
        <f>RAW_DATA!G416</f>
        <v>231</v>
      </c>
      <c r="H406" s="18">
        <f>RAW_DATA!H416</f>
        <v>231</v>
      </c>
      <c r="I406" s="24">
        <f>RAW_DATA!I416</f>
        <v>6.81</v>
      </c>
      <c r="J406" s="24">
        <f>RAW_DATA!J416</f>
        <v>3.99</v>
      </c>
      <c r="K406" s="18">
        <f>RAW_DATA!K416</f>
        <v>6</v>
      </c>
      <c r="L406" s="24">
        <f>RAW_DATA!L416</f>
        <v>1138.71</v>
      </c>
      <c r="M406" s="18">
        <f t="shared" si="12"/>
        <v>2</v>
      </c>
      <c r="N406" s="18" t="str">
        <f t="shared" si="13"/>
        <v>On Time</v>
      </c>
    </row>
    <row r="407" spans="1:14" x14ac:dyDescent="0.3">
      <c r="A407" s="13" t="str">
        <f>RAW_DATA!A417</f>
        <v>ORD-0416</v>
      </c>
      <c r="B407" s="14">
        <v>45222</v>
      </c>
      <c r="C407" s="14">
        <v>45228</v>
      </c>
      <c r="D407" s="15" t="s">
        <v>570</v>
      </c>
      <c r="E407" s="15" t="s">
        <v>575</v>
      </c>
      <c r="F407" s="15" t="str">
        <f>RAW_DATA!F417</f>
        <v>WH-C</v>
      </c>
      <c r="G407" s="15">
        <f>RAW_DATA!G417</f>
        <v>223</v>
      </c>
      <c r="H407" s="15">
        <f>RAW_DATA!H417</f>
        <v>223</v>
      </c>
      <c r="I407" s="23">
        <f>RAW_DATA!I417</f>
        <v>19.690000000000001</v>
      </c>
      <c r="J407" s="23">
        <f>RAW_DATA!J417</f>
        <v>13.43</v>
      </c>
      <c r="K407" s="15">
        <f>RAW_DATA!K417</f>
        <v>7</v>
      </c>
      <c r="L407" s="23">
        <f>RAW_DATA!L417</f>
        <v>4039.17</v>
      </c>
      <c r="M407" s="15">
        <f t="shared" si="12"/>
        <v>6</v>
      </c>
      <c r="N407" s="15" t="str">
        <f t="shared" si="13"/>
        <v>On Time</v>
      </c>
    </row>
    <row r="408" spans="1:14" x14ac:dyDescent="0.3">
      <c r="A408" s="16" t="str">
        <f>RAW_DATA!A418</f>
        <v>ORD-0417</v>
      </c>
      <c r="B408" s="17">
        <v>45036</v>
      </c>
      <c r="C408" s="17">
        <v>45043</v>
      </c>
      <c r="D408" s="18" t="s">
        <v>570</v>
      </c>
      <c r="E408" s="18" t="s">
        <v>574</v>
      </c>
      <c r="F408" s="18" t="str">
        <f>RAW_DATA!F418</f>
        <v>WH-A</v>
      </c>
      <c r="G408" s="18">
        <f>RAW_DATA!G418</f>
        <v>193</v>
      </c>
      <c r="H408" s="18">
        <f>RAW_DATA!H418</f>
        <v>193</v>
      </c>
      <c r="I408" s="24">
        <f>RAW_DATA!I418</f>
        <v>9.35</v>
      </c>
      <c r="J408" s="24">
        <f>RAW_DATA!J418</f>
        <v>6.42</v>
      </c>
      <c r="K408" s="18">
        <f>RAW_DATA!K418</f>
        <v>7</v>
      </c>
      <c r="L408" s="24">
        <f>RAW_DATA!L418</f>
        <v>1153.8499999999999</v>
      </c>
      <c r="M408" s="18">
        <f t="shared" si="12"/>
        <v>7</v>
      </c>
      <c r="N408" s="18" t="str">
        <f t="shared" si="13"/>
        <v>On Time</v>
      </c>
    </row>
    <row r="409" spans="1:14" hidden="1" x14ac:dyDescent="0.3">
      <c r="A409" s="13" t="str">
        <f>RAW_DATA!A419</f>
        <v>ORD-0418</v>
      </c>
      <c r="B409" s="14">
        <v>45001</v>
      </c>
      <c r="C409" s="14">
        <v>45005</v>
      </c>
      <c r="D409" s="15" t="s">
        <v>571</v>
      </c>
      <c r="E409" s="15" t="s">
        <v>573</v>
      </c>
      <c r="F409" s="15" t="str">
        <f>RAW_DATA!F419</f>
        <v>WH-A</v>
      </c>
      <c r="G409" s="15">
        <f>RAW_DATA!G419</f>
        <v>65</v>
      </c>
      <c r="H409" s="15">
        <f>RAW_DATA!H419</f>
        <v>65</v>
      </c>
      <c r="I409" s="23">
        <f>RAW_DATA!I419</f>
        <v>11.2</v>
      </c>
      <c r="J409" s="23">
        <f>RAW_DATA!J419</f>
        <v>6.34</v>
      </c>
      <c r="K409" s="15">
        <f>RAW_DATA!K419</f>
        <v>4</v>
      </c>
      <c r="L409" s="23">
        <f>RAW_DATA!L419</f>
        <v>380.23</v>
      </c>
      <c r="M409" s="15">
        <f t="shared" si="12"/>
        <v>4</v>
      </c>
      <c r="N409" s="15" t="str">
        <f t="shared" si="13"/>
        <v>On Time</v>
      </c>
    </row>
    <row r="410" spans="1:14" hidden="1" x14ac:dyDescent="0.3">
      <c r="A410" s="16" t="str">
        <f>RAW_DATA!A420</f>
        <v>ORD-0419</v>
      </c>
      <c r="B410" s="17">
        <v>45262</v>
      </c>
      <c r="C410" s="17">
        <v>45263</v>
      </c>
      <c r="D410" s="18" t="s">
        <v>571</v>
      </c>
      <c r="E410" s="18" t="s">
        <v>576</v>
      </c>
      <c r="F410" s="18" t="str">
        <f>RAW_DATA!F420</f>
        <v>WH-E</v>
      </c>
      <c r="G410" s="18">
        <f>RAW_DATA!G420</f>
        <v>109</v>
      </c>
      <c r="H410" s="18">
        <f>RAW_DATA!H420</f>
        <v>109</v>
      </c>
      <c r="I410" s="24">
        <f>RAW_DATA!I420</f>
        <v>21.27</v>
      </c>
      <c r="J410" s="24">
        <f>RAW_DATA!J420</f>
        <v>12.56</v>
      </c>
      <c r="K410" s="18">
        <f>RAW_DATA!K420</f>
        <v>4</v>
      </c>
      <c r="L410" s="24">
        <f>RAW_DATA!L420</f>
        <v>1771.72</v>
      </c>
      <c r="M410" s="18">
        <f t="shared" si="12"/>
        <v>1</v>
      </c>
      <c r="N410" s="18" t="str">
        <f t="shared" si="13"/>
        <v>On Time</v>
      </c>
    </row>
    <row r="411" spans="1:14" hidden="1" x14ac:dyDescent="0.3">
      <c r="A411" s="13" t="str">
        <f>RAW_DATA!A421</f>
        <v>ORD-0420</v>
      </c>
      <c r="B411" s="14">
        <v>45233</v>
      </c>
      <c r="C411" s="14">
        <v>45236</v>
      </c>
      <c r="D411" s="15" t="s">
        <v>579</v>
      </c>
      <c r="E411" s="15" t="s">
        <v>574</v>
      </c>
      <c r="F411" s="15" t="str">
        <f>RAW_DATA!F421</f>
        <v>WH-A</v>
      </c>
      <c r="G411" s="15">
        <f>RAW_DATA!G421</f>
        <v>138</v>
      </c>
      <c r="H411" s="15">
        <f>RAW_DATA!H421</f>
        <v>138</v>
      </c>
      <c r="I411" s="23">
        <f>RAW_DATA!I421</f>
        <v>9.64</v>
      </c>
      <c r="J411" s="23">
        <f>RAW_DATA!J421</f>
        <v>6</v>
      </c>
      <c r="K411" s="15">
        <f>RAW_DATA!K421</f>
        <v>3</v>
      </c>
      <c r="L411" s="23">
        <f>RAW_DATA!L421</f>
        <v>1070.6099999999999</v>
      </c>
      <c r="M411" s="15">
        <f t="shared" si="12"/>
        <v>3</v>
      </c>
      <c r="N411" s="15" t="str">
        <f t="shared" si="13"/>
        <v>On Time</v>
      </c>
    </row>
    <row r="412" spans="1:14" hidden="1" x14ac:dyDescent="0.3">
      <c r="A412" s="16" t="str">
        <f>RAW_DATA!A422</f>
        <v>ORD-0421</v>
      </c>
      <c r="B412" s="17">
        <v>45131</v>
      </c>
      <c r="C412" s="17">
        <v>45133</v>
      </c>
      <c r="D412" s="18" t="s">
        <v>198</v>
      </c>
      <c r="E412" s="18" t="s">
        <v>573</v>
      </c>
      <c r="F412" s="18" t="str">
        <f>RAW_DATA!F422</f>
        <v>WH-C</v>
      </c>
      <c r="G412" s="18">
        <f>RAW_DATA!G422</f>
        <v>227</v>
      </c>
      <c r="H412" s="18">
        <f>RAW_DATA!H422</f>
        <v>227</v>
      </c>
      <c r="I412" s="24">
        <f>RAW_DATA!I422</f>
        <v>13.33</v>
      </c>
      <c r="J412" s="24">
        <f>RAW_DATA!J422</f>
        <v>9.3000000000000007</v>
      </c>
      <c r="K412" s="18">
        <f>RAW_DATA!K422</f>
        <v>2</v>
      </c>
      <c r="L412" s="24">
        <f>RAW_DATA!L422</f>
        <v>1986.9</v>
      </c>
      <c r="M412" s="18">
        <f t="shared" si="12"/>
        <v>2</v>
      </c>
      <c r="N412" s="18" t="str">
        <f t="shared" si="13"/>
        <v>On Time</v>
      </c>
    </row>
    <row r="413" spans="1:14" hidden="1" x14ac:dyDescent="0.3">
      <c r="A413" s="13" t="str">
        <f>RAW_DATA!A423</f>
        <v>ORD-0422</v>
      </c>
      <c r="B413" s="14">
        <v>45213</v>
      </c>
      <c r="C413" s="14">
        <v>45220</v>
      </c>
      <c r="D413" s="15" t="s">
        <v>569</v>
      </c>
      <c r="E413" s="15" t="s">
        <v>577</v>
      </c>
      <c r="F413" s="15" t="str">
        <f>RAW_DATA!F423</f>
        <v>WH-C</v>
      </c>
      <c r="G413" s="15">
        <f>RAW_DATA!G423</f>
        <v>197</v>
      </c>
      <c r="H413" s="15">
        <f>RAW_DATA!H423</f>
        <v>197</v>
      </c>
      <c r="I413" s="23">
        <f>RAW_DATA!I423</f>
        <v>5.8</v>
      </c>
      <c r="J413" s="23">
        <f>RAW_DATA!J423</f>
        <v>3.89</v>
      </c>
      <c r="K413" s="15">
        <f>RAW_DATA!K423</f>
        <v>4</v>
      </c>
      <c r="L413" s="23">
        <f>RAW_DATA!L423</f>
        <v>779.14</v>
      </c>
      <c r="M413" s="15">
        <f t="shared" si="12"/>
        <v>7</v>
      </c>
      <c r="N413" s="15" t="str">
        <f t="shared" si="13"/>
        <v>Late</v>
      </c>
    </row>
    <row r="414" spans="1:14" hidden="1" x14ac:dyDescent="0.3">
      <c r="A414" s="16" t="str">
        <f>RAW_DATA!A424</f>
        <v>ORD-0423</v>
      </c>
      <c r="B414" s="17">
        <v>45060</v>
      </c>
      <c r="C414" s="17">
        <v>45061</v>
      </c>
      <c r="D414" s="18" t="s">
        <v>571</v>
      </c>
      <c r="E414" s="18" t="s">
        <v>577</v>
      </c>
      <c r="F414" s="18" t="str">
        <f>RAW_DATA!F424</f>
        <v>WH-A</v>
      </c>
      <c r="G414" s="18">
        <f>RAW_DATA!G424</f>
        <v>306</v>
      </c>
      <c r="H414" s="18">
        <f>RAW_DATA!H424</f>
        <v>306</v>
      </c>
      <c r="I414" s="24">
        <f>RAW_DATA!I424</f>
        <v>5.86</v>
      </c>
      <c r="J414" s="24">
        <f>RAW_DATA!J424</f>
        <v>4.33</v>
      </c>
      <c r="K414" s="18">
        <f>RAW_DATA!K424</f>
        <v>4</v>
      </c>
      <c r="L414" s="24">
        <f>RAW_DATA!L424</f>
        <v>1830.81</v>
      </c>
      <c r="M414" s="18">
        <f t="shared" si="12"/>
        <v>1</v>
      </c>
      <c r="N414" s="18" t="str">
        <f t="shared" si="13"/>
        <v>On Time</v>
      </c>
    </row>
    <row r="415" spans="1:14" hidden="1" x14ac:dyDescent="0.3">
      <c r="A415" s="13" t="str">
        <f>RAW_DATA!A425</f>
        <v>ORD-0424</v>
      </c>
      <c r="B415" s="14">
        <v>45055</v>
      </c>
      <c r="C415" s="14">
        <v>45057</v>
      </c>
      <c r="D415" s="15" t="s">
        <v>579</v>
      </c>
      <c r="E415" s="15" t="s">
        <v>577</v>
      </c>
      <c r="F415" s="15" t="str">
        <f>RAW_DATA!F425</f>
        <v>WH-E</v>
      </c>
      <c r="G415" s="15">
        <f>RAW_DATA!G425</f>
        <v>308</v>
      </c>
      <c r="H415" s="15">
        <f>RAW_DATA!H425</f>
        <v>308</v>
      </c>
      <c r="I415" s="23">
        <f>RAW_DATA!I425</f>
        <v>5.68</v>
      </c>
      <c r="J415" s="23">
        <f>RAW_DATA!J425</f>
        <v>3.51</v>
      </c>
      <c r="K415" s="15">
        <f>RAW_DATA!K425</f>
        <v>3</v>
      </c>
      <c r="L415" s="23">
        <f>RAW_DATA!L425</f>
        <v>1476.06</v>
      </c>
      <c r="M415" s="15">
        <f t="shared" si="12"/>
        <v>2</v>
      </c>
      <c r="N415" s="15" t="str">
        <f t="shared" si="13"/>
        <v>On Time</v>
      </c>
    </row>
    <row r="416" spans="1:14" x14ac:dyDescent="0.3">
      <c r="A416" s="16" t="str">
        <f>RAW_DATA!A426</f>
        <v>ORD-0425</v>
      </c>
      <c r="B416" s="17">
        <v>45173</v>
      </c>
      <c r="C416" s="17">
        <v>45174</v>
      </c>
      <c r="D416" s="18" t="s">
        <v>570</v>
      </c>
      <c r="E416" s="18" t="s">
        <v>577</v>
      </c>
      <c r="F416" s="18" t="str">
        <f>RAW_DATA!F426</f>
        <v>WH-A</v>
      </c>
      <c r="G416" s="18">
        <f>RAW_DATA!G426</f>
        <v>215</v>
      </c>
      <c r="H416" s="18">
        <f>RAW_DATA!H426</f>
        <v>215</v>
      </c>
      <c r="I416" s="24">
        <f>RAW_DATA!I426</f>
        <v>8.3800000000000008</v>
      </c>
      <c r="J416" s="24">
        <f>RAW_DATA!J426</f>
        <v>5.74</v>
      </c>
      <c r="K416" s="18">
        <f>RAW_DATA!K426</f>
        <v>7</v>
      </c>
      <c r="L416" s="24">
        <f>RAW_DATA!L426</f>
        <v>1280.94</v>
      </c>
      <c r="M416" s="18">
        <f t="shared" si="12"/>
        <v>1</v>
      </c>
      <c r="N416" s="18" t="str">
        <f t="shared" si="13"/>
        <v>On Time</v>
      </c>
    </row>
    <row r="417" spans="1:14" hidden="1" x14ac:dyDescent="0.3">
      <c r="A417" s="13" t="str">
        <f>RAW_DATA!A427</f>
        <v>ORD-0426</v>
      </c>
      <c r="B417" s="14">
        <v>45191</v>
      </c>
      <c r="C417" s="14">
        <v>45197</v>
      </c>
      <c r="D417" s="15" t="s">
        <v>211</v>
      </c>
      <c r="E417" s="15" t="s">
        <v>576</v>
      </c>
      <c r="F417" s="15" t="str">
        <f>RAW_DATA!F427</f>
        <v>WH-C</v>
      </c>
      <c r="G417" s="15">
        <f>RAW_DATA!G427</f>
        <v>154</v>
      </c>
      <c r="H417" s="15">
        <f>RAW_DATA!H427</f>
        <v>154</v>
      </c>
      <c r="I417" s="23">
        <f>RAW_DATA!I427</f>
        <v>17.12</v>
      </c>
      <c r="J417" s="23">
        <f>RAW_DATA!J427</f>
        <v>11.72</v>
      </c>
      <c r="K417" s="15">
        <f>RAW_DATA!K427</f>
        <v>6</v>
      </c>
      <c r="L417" s="23">
        <f>RAW_DATA!L427</f>
        <v>2513.56</v>
      </c>
      <c r="M417" s="15">
        <f t="shared" si="12"/>
        <v>6</v>
      </c>
      <c r="N417" s="15" t="str">
        <f t="shared" si="13"/>
        <v>On Time</v>
      </c>
    </row>
    <row r="418" spans="1:14" hidden="1" x14ac:dyDescent="0.3">
      <c r="A418" s="16" t="str">
        <f>RAW_DATA!A428</f>
        <v>ORD-0427</v>
      </c>
      <c r="B418" s="17">
        <v>45170</v>
      </c>
      <c r="C418" s="17">
        <v>45172</v>
      </c>
      <c r="D418" s="18" t="s">
        <v>569</v>
      </c>
      <c r="E418" s="18" t="s">
        <v>577</v>
      </c>
      <c r="F418" s="18" t="str">
        <f>RAW_DATA!F428</f>
        <v>WH-B</v>
      </c>
      <c r="G418" s="18">
        <f>RAW_DATA!G428</f>
        <v>313</v>
      </c>
      <c r="H418" s="18">
        <f>RAW_DATA!H428</f>
        <v>313</v>
      </c>
      <c r="I418" s="24">
        <f>RAW_DATA!I428</f>
        <v>8.2100000000000009</v>
      </c>
      <c r="J418" s="24">
        <f>RAW_DATA!J428</f>
        <v>5.64</v>
      </c>
      <c r="K418" s="18">
        <f>RAW_DATA!K428</f>
        <v>4</v>
      </c>
      <c r="L418" s="24">
        <f>RAW_DATA!L428</f>
        <v>2552.58</v>
      </c>
      <c r="M418" s="18">
        <f t="shared" si="12"/>
        <v>2</v>
      </c>
      <c r="N418" s="18" t="str">
        <f t="shared" si="13"/>
        <v>On Time</v>
      </c>
    </row>
    <row r="419" spans="1:14" x14ac:dyDescent="0.3">
      <c r="A419" s="13" t="str">
        <f>RAW_DATA!A429</f>
        <v>ORD-0428</v>
      </c>
      <c r="B419" s="14">
        <v>45050</v>
      </c>
      <c r="C419" s="14">
        <v>45052</v>
      </c>
      <c r="D419" s="15" t="s">
        <v>570</v>
      </c>
      <c r="E419" s="15" t="s">
        <v>574</v>
      </c>
      <c r="F419" s="15" t="str">
        <f>RAW_DATA!F429</f>
        <v>WH-B</v>
      </c>
      <c r="G419" s="15">
        <f>RAW_DATA!G429</f>
        <v>137</v>
      </c>
      <c r="H419" s="15">
        <f>RAW_DATA!H429</f>
        <v>137</v>
      </c>
      <c r="I419" s="23">
        <f>RAW_DATA!I429</f>
        <v>7.6</v>
      </c>
      <c r="J419" s="23">
        <f>RAW_DATA!J429</f>
        <v>5.12</v>
      </c>
      <c r="K419" s="15">
        <f>RAW_DATA!K429</f>
        <v>7</v>
      </c>
      <c r="L419" s="23">
        <f>RAW_DATA!L429</f>
        <v>696.95</v>
      </c>
      <c r="M419" s="15">
        <f t="shared" si="12"/>
        <v>2</v>
      </c>
      <c r="N419" s="15" t="str">
        <f t="shared" si="13"/>
        <v>On Time</v>
      </c>
    </row>
    <row r="420" spans="1:14" hidden="1" x14ac:dyDescent="0.3">
      <c r="A420" s="16" t="str">
        <f>RAW_DATA!A430</f>
        <v>ORD-0429</v>
      </c>
      <c r="B420" s="17">
        <v>45273</v>
      </c>
      <c r="C420" s="17">
        <v>45281</v>
      </c>
      <c r="D420" s="18" t="s">
        <v>569</v>
      </c>
      <c r="E420" s="18" t="s">
        <v>573</v>
      </c>
      <c r="F420" s="18" t="str">
        <f>RAW_DATA!F430</f>
        <v>WH-A</v>
      </c>
      <c r="G420" s="18">
        <f>RAW_DATA!G430</f>
        <v>334</v>
      </c>
      <c r="H420" s="18">
        <f>RAW_DATA!H430</f>
        <v>302</v>
      </c>
      <c r="I420" s="24">
        <f>RAW_DATA!I430</f>
        <v>16.5</v>
      </c>
      <c r="J420" s="24">
        <f>RAW_DATA!J430</f>
        <v>11.87</v>
      </c>
      <c r="K420" s="18">
        <f>RAW_DATA!K430</f>
        <v>4</v>
      </c>
      <c r="L420" s="24">
        <f>RAW_DATA!L430</f>
        <v>4451.1099999999997</v>
      </c>
      <c r="M420" s="18">
        <f t="shared" si="12"/>
        <v>8</v>
      </c>
      <c r="N420" s="18" t="str">
        <f t="shared" si="13"/>
        <v>Late</v>
      </c>
    </row>
    <row r="421" spans="1:14" hidden="1" x14ac:dyDescent="0.3">
      <c r="A421" s="13" t="str">
        <f>RAW_DATA!A431</f>
        <v>ORD-0430</v>
      </c>
      <c r="B421" s="14">
        <v>45067</v>
      </c>
      <c r="C421" s="14">
        <v>45072</v>
      </c>
      <c r="D421" s="15" t="s">
        <v>211</v>
      </c>
      <c r="E421" s="15" t="s">
        <v>576</v>
      </c>
      <c r="F421" s="15" t="str">
        <f>RAW_DATA!F431</f>
        <v>WH-E</v>
      </c>
      <c r="G421" s="15">
        <f>RAW_DATA!G431</f>
        <v>163</v>
      </c>
      <c r="H421" s="15">
        <f>RAW_DATA!H431</f>
        <v>163</v>
      </c>
      <c r="I421" s="23">
        <f>RAW_DATA!I431</f>
        <v>25</v>
      </c>
      <c r="J421" s="23">
        <f>RAW_DATA!J431</f>
        <v>14.39</v>
      </c>
      <c r="K421" s="15">
        <f>RAW_DATA!K431</f>
        <v>6</v>
      </c>
      <c r="L421" s="23">
        <f>RAW_DATA!L431</f>
        <v>2850.9</v>
      </c>
      <c r="M421" s="15">
        <f t="shared" si="12"/>
        <v>5</v>
      </c>
      <c r="N421" s="15" t="str">
        <f t="shared" si="13"/>
        <v>On Time</v>
      </c>
    </row>
    <row r="422" spans="1:14" hidden="1" x14ac:dyDescent="0.3">
      <c r="A422" s="16" t="str">
        <f>RAW_DATA!A432</f>
        <v>ORD-0431</v>
      </c>
      <c r="B422" s="17">
        <v>44943</v>
      </c>
      <c r="C422" s="17">
        <v>44947</v>
      </c>
      <c r="D422" s="18" t="s">
        <v>571</v>
      </c>
      <c r="E422" s="18" t="s">
        <v>576</v>
      </c>
      <c r="F422" s="18" t="str">
        <f>RAW_DATA!F432</f>
        <v>WH-E</v>
      </c>
      <c r="G422" s="18">
        <f>RAW_DATA!G432</f>
        <v>371</v>
      </c>
      <c r="H422" s="18">
        <f>RAW_DATA!H432</f>
        <v>371</v>
      </c>
      <c r="I422" s="24">
        <f>RAW_DATA!I432</f>
        <v>21.49</v>
      </c>
      <c r="J422" s="24">
        <f>RAW_DATA!J432</f>
        <v>12.34</v>
      </c>
      <c r="K422" s="18">
        <f>RAW_DATA!K432</f>
        <v>4</v>
      </c>
      <c r="L422" s="24">
        <f>RAW_DATA!L432</f>
        <v>5543.78</v>
      </c>
      <c r="M422" s="18">
        <f t="shared" si="12"/>
        <v>4</v>
      </c>
      <c r="N422" s="18" t="str">
        <f t="shared" si="13"/>
        <v>On Time</v>
      </c>
    </row>
    <row r="423" spans="1:14" hidden="1" x14ac:dyDescent="0.3">
      <c r="A423" s="13" t="str">
        <f>RAW_DATA!A433</f>
        <v>ORD-0432</v>
      </c>
      <c r="B423" s="14">
        <v>45272</v>
      </c>
      <c r="C423" s="14">
        <v>45277</v>
      </c>
      <c r="D423" s="15" t="s">
        <v>211</v>
      </c>
      <c r="E423" s="15" t="s">
        <v>573</v>
      </c>
      <c r="F423" s="15" t="str">
        <f>RAW_DATA!F433</f>
        <v>WH-A</v>
      </c>
      <c r="G423" s="15">
        <f>RAW_DATA!G433</f>
        <v>71</v>
      </c>
      <c r="H423" s="15">
        <f>RAW_DATA!H433</f>
        <v>71</v>
      </c>
      <c r="I423" s="23">
        <f>RAW_DATA!I433</f>
        <v>14.01</v>
      </c>
      <c r="J423" s="23">
        <f>RAW_DATA!J433</f>
        <v>8.43</v>
      </c>
      <c r="K423" s="15">
        <f>RAW_DATA!K433</f>
        <v>6</v>
      </c>
      <c r="L423" s="23">
        <f>RAW_DATA!L433</f>
        <v>735.68</v>
      </c>
      <c r="M423" s="15">
        <f t="shared" si="12"/>
        <v>5</v>
      </c>
      <c r="N423" s="15" t="str">
        <f t="shared" si="13"/>
        <v>On Time</v>
      </c>
    </row>
    <row r="424" spans="1:14" hidden="1" x14ac:dyDescent="0.3">
      <c r="A424" s="16" t="str">
        <f>RAW_DATA!A434</f>
        <v>ORD-0433</v>
      </c>
      <c r="B424" s="17">
        <v>45240</v>
      </c>
      <c r="C424" s="17">
        <v>45242</v>
      </c>
      <c r="D424" s="18" t="s">
        <v>572</v>
      </c>
      <c r="E424" s="18" t="s">
        <v>575</v>
      </c>
      <c r="F424" s="18" t="str">
        <f>RAW_DATA!F434</f>
        <v>WH-D</v>
      </c>
      <c r="G424" s="18">
        <f>RAW_DATA!G434</f>
        <v>275</v>
      </c>
      <c r="H424" s="18">
        <f>RAW_DATA!H434</f>
        <v>275</v>
      </c>
      <c r="I424" s="24">
        <f>RAW_DATA!I434</f>
        <v>15.77</v>
      </c>
      <c r="J424" s="24">
        <f>RAW_DATA!J434</f>
        <v>11.05</v>
      </c>
      <c r="K424" s="18">
        <f>RAW_DATA!K434</f>
        <v>5</v>
      </c>
      <c r="L424" s="24">
        <f>RAW_DATA!L434</f>
        <v>3400.5</v>
      </c>
      <c r="M424" s="18">
        <f t="shared" si="12"/>
        <v>2</v>
      </c>
      <c r="N424" s="18" t="str">
        <f t="shared" si="13"/>
        <v>On Time</v>
      </c>
    </row>
    <row r="425" spans="1:14" hidden="1" x14ac:dyDescent="0.3">
      <c r="A425" s="13" t="str">
        <f>RAW_DATA!A435</f>
        <v>ORD-0434</v>
      </c>
      <c r="B425" s="14">
        <v>45019</v>
      </c>
      <c r="C425" s="14">
        <v>45021</v>
      </c>
      <c r="D425" s="15" t="s">
        <v>571</v>
      </c>
      <c r="E425" s="15" t="s">
        <v>575</v>
      </c>
      <c r="F425" s="15" t="str">
        <f>RAW_DATA!F435</f>
        <v>WH-D</v>
      </c>
      <c r="G425" s="15">
        <f>RAW_DATA!G435</f>
        <v>71</v>
      </c>
      <c r="H425" s="15">
        <f>RAW_DATA!H435</f>
        <v>71</v>
      </c>
      <c r="I425" s="23">
        <f>RAW_DATA!I435</f>
        <v>19.239999999999998</v>
      </c>
      <c r="J425" s="23">
        <f>RAW_DATA!J435</f>
        <v>12.72</v>
      </c>
      <c r="K425" s="15">
        <f>RAW_DATA!K435</f>
        <v>4</v>
      </c>
      <c r="L425" s="23">
        <f>RAW_DATA!L435</f>
        <v>1276.82</v>
      </c>
      <c r="M425" s="15">
        <f t="shared" si="12"/>
        <v>2</v>
      </c>
      <c r="N425" s="15" t="str">
        <f t="shared" si="13"/>
        <v>On Time</v>
      </c>
    </row>
    <row r="426" spans="1:14" hidden="1" x14ac:dyDescent="0.3">
      <c r="A426" s="16" t="str">
        <f>RAW_DATA!A436</f>
        <v>ORD-0435</v>
      </c>
      <c r="B426" s="17">
        <v>45169</v>
      </c>
      <c r="C426" s="17">
        <v>45171</v>
      </c>
      <c r="D426" s="18" t="s">
        <v>572</v>
      </c>
      <c r="E426" s="18" t="s">
        <v>574</v>
      </c>
      <c r="F426" s="18" t="str">
        <f>RAW_DATA!F436</f>
        <v>WH-B</v>
      </c>
      <c r="G426" s="18">
        <f>RAW_DATA!G436</f>
        <v>235</v>
      </c>
      <c r="H426" s="18">
        <f>RAW_DATA!H436</f>
        <v>235</v>
      </c>
      <c r="I426" s="24" t="str">
        <f>RAW_DATA!I436</f>
        <v>$11.18</v>
      </c>
      <c r="J426" s="24">
        <f>RAW_DATA!J436</f>
        <v>8.0500000000000007</v>
      </c>
      <c r="K426" s="18">
        <f>RAW_DATA!K436</f>
        <v>5</v>
      </c>
      <c r="L426" s="24">
        <f>RAW_DATA!L436</f>
        <v>2289.4</v>
      </c>
      <c r="M426" s="18">
        <f t="shared" si="12"/>
        <v>2</v>
      </c>
      <c r="N426" s="18" t="str">
        <f t="shared" si="13"/>
        <v>On Time</v>
      </c>
    </row>
    <row r="427" spans="1:14" hidden="1" x14ac:dyDescent="0.3">
      <c r="A427" s="13" t="str">
        <f>RAW_DATA!A437</f>
        <v>ORD-0436</v>
      </c>
      <c r="B427" s="14">
        <v>45055</v>
      </c>
      <c r="C427" s="14">
        <v>45060</v>
      </c>
      <c r="D427" s="15" t="s">
        <v>211</v>
      </c>
      <c r="E427" s="15" t="s">
        <v>576</v>
      </c>
      <c r="F427" s="15" t="str">
        <f>RAW_DATA!F437</f>
        <v>WH-C</v>
      </c>
      <c r="G427" s="15">
        <f>RAW_DATA!G437</f>
        <v>44</v>
      </c>
      <c r="H427" s="15">
        <f>RAW_DATA!H437</f>
        <v>44</v>
      </c>
      <c r="I427" s="23">
        <f>RAW_DATA!I437</f>
        <v>24.29</v>
      </c>
      <c r="J427" s="23">
        <f>RAW_DATA!J437</f>
        <v>13.65</v>
      </c>
      <c r="K427" s="15">
        <f>RAW_DATA!K437</f>
        <v>6</v>
      </c>
      <c r="L427" s="23">
        <f>RAW_DATA!L437</f>
        <v>833.81</v>
      </c>
      <c r="M427" s="15">
        <f t="shared" si="12"/>
        <v>5</v>
      </c>
      <c r="N427" s="15" t="str">
        <f t="shared" si="13"/>
        <v>On Time</v>
      </c>
    </row>
    <row r="428" spans="1:14" x14ac:dyDescent="0.3">
      <c r="A428" s="16" t="str">
        <f>RAW_DATA!A438</f>
        <v>ORD-0437</v>
      </c>
      <c r="B428" s="17">
        <v>45098</v>
      </c>
      <c r="C428" s="17">
        <v>45101</v>
      </c>
      <c r="D428" s="18" t="s">
        <v>570</v>
      </c>
      <c r="E428" s="18" t="s">
        <v>573</v>
      </c>
      <c r="F428" s="18" t="str">
        <f>RAW_DATA!F438</f>
        <v>WH-D</v>
      </c>
      <c r="G428" s="18">
        <f>RAW_DATA!G438</f>
        <v>306</v>
      </c>
      <c r="H428" s="18">
        <f>RAW_DATA!H438</f>
        <v>306</v>
      </c>
      <c r="I428" s="24">
        <f>RAW_DATA!I438</f>
        <v>15.43</v>
      </c>
      <c r="J428" s="24">
        <f>RAW_DATA!J438</f>
        <v>9.5500000000000007</v>
      </c>
      <c r="K428" s="18">
        <f>RAW_DATA!K438</f>
        <v>7</v>
      </c>
      <c r="L428" s="24">
        <f>RAW_DATA!L438</f>
        <v>3352.04</v>
      </c>
      <c r="M428" s="18">
        <f t="shared" si="12"/>
        <v>3</v>
      </c>
      <c r="N428" s="18" t="str">
        <f t="shared" si="13"/>
        <v>On Time</v>
      </c>
    </row>
    <row r="429" spans="1:14" hidden="1" x14ac:dyDescent="0.3">
      <c r="A429" s="13" t="str">
        <f>RAW_DATA!A439</f>
        <v>ORD-0438</v>
      </c>
      <c r="B429" s="14">
        <v>45222</v>
      </c>
      <c r="C429" s="14">
        <v>45228</v>
      </c>
      <c r="D429" s="15" t="s">
        <v>211</v>
      </c>
      <c r="E429" s="15" t="s">
        <v>577</v>
      </c>
      <c r="F429" s="15" t="str">
        <f>RAW_DATA!F439</f>
        <v>WH-B</v>
      </c>
      <c r="G429" s="15">
        <f>RAW_DATA!G439</f>
        <v>295</v>
      </c>
      <c r="H429" s="15">
        <f>RAW_DATA!H439</f>
        <v>295</v>
      </c>
      <c r="I429" s="23">
        <f>RAW_DATA!I439</f>
        <v>7.61</v>
      </c>
      <c r="J429" s="23">
        <f>RAW_DATA!J439</f>
        <v>4.7300000000000004</v>
      </c>
      <c r="K429" s="15">
        <f>RAW_DATA!K439</f>
        <v>6</v>
      </c>
      <c r="L429" s="23">
        <f>RAW_DATA!L439</f>
        <v>1819.42</v>
      </c>
      <c r="M429" s="15">
        <f t="shared" si="12"/>
        <v>6</v>
      </c>
      <c r="N429" s="15" t="str">
        <f t="shared" si="13"/>
        <v>On Time</v>
      </c>
    </row>
    <row r="430" spans="1:14" x14ac:dyDescent="0.3">
      <c r="A430" s="16" t="str">
        <f>RAW_DATA!A440</f>
        <v>ORD-0439</v>
      </c>
      <c r="B430" s="17">
        <v>45122</v>
      </c>
      <c r="C430" s="17">
        <v>45126</v>
      </c>
      <c r="D430" s="18" t="s">
        <v>570</v>
      </c>
      <c r="E430" s="18" t="s">
        <v>576</v>
      </c>
      <c r="F430" s="18" t="str">
        <f>RAW_DATA!F440</f>
        <v>WH-A</v>
      </c>
      <c r="G430" s="18">
        <f>RAW_DATA!G440</f>
        <v>343</v>
      </c>
      <c r="H430" s="18">
        <f>RAW_DATA!H440</f>
        <v>343</v>
      </c>
      <c r="I430" s="24">
        <f>RAW_DATA!I440</f>
        <v>26.42</v>
      </c>
      <c r="J430" s="24">
        <f>RAW_DATA!J440</f>
        <v>17.920000000000002</v>
      </c>
      <c r="K430" s="18">
        <f>RAW_DATA!K440</f>
        <v>7</v>
      </c>
      <c r="L430" s="24">
        <f>RAW_DATA!L440</f>
        <v>8956.4</v>
      </c>
      <c r="M430" s="18">
        <f t="shared" si="12"/>
        <v>4</v>
      </c>
      <c r="N430" s="18" t="str">
        <f t="shared" si="13"/>
        <v>On Time</v>
      </c>
    </row>
    <row r="431" spans="1:14" hidden="1" x14ac:dyDescent="0.3">
      <c r="A431" s="13" t="str">
        <f>RAW_DATA!A441</f>
        <v>ORD-0440</v>
      </c>
      <c r="B431" s="14">
        <v>45134</v>
      </c>
      <c r="C431" s="14">
        <v>45135</v>
      </c>
      <c r="D431" s="15" t="s">
        <v>571</v>
      </c>
      <c r="E431" s="15" t="s">
        <v>577</v>
      </c>
      <c r="F431" s="15" t="str">
        <f>RAW_DATA!F441</f>
        <v>WH-E</v>
      </c>
      <c r="G431" s="15">
        <f>RAW_DATA!G441</f>
        <v>60</v>
      </c>
      <c r="H431" s="15">
        <f>RAW_DATA!H441</f>
        <v>60</v>
      </c>
      <c r="I431" s="23">
        <f>RAW_DATA!I441</f>
        <v>5.62</v>
      </c>
      <c r="J431" s="23">
        <f>RAW_DATA!J441</f>
        <v>3.45</v>
      </c>
      <c r="K431" s="15">
        <f>RAW_DATA!K441</f>
        <v>4</v>
      </c>
      <c r="L431" s="23">
        <f>RAW_DATA!L441</f>
        <v>222.49</v>
      </c>
      <c r="M431" s="15">
        <f t="shared" si="12"/>
        <v>1</v>
      </c>
      <c r="N431" s="15" t="str">
        <f t="shared" si="13"/>
        <v>On Time</v>
      </c>
    </row>
    <row r="432" spans="1:14" hidden="1" x14ac:dyDescent="0.3">
      <c r="A432" s="16" t="str">
        <f>RAW_DATA!A442</f>
        <v>ORD-0441</v>
      </c>
      <c r="B432" s="17">
        <v>45065</v>
      </c>
      <c r="C432" s="17">
        <v>45067</v>
      </c>
      <c r="D432" s="18" t="s">
        <v>579</v>
      </c>
      <c r="E432" s="18" t="s">
        <v>577</v>
      </c>
      <c r="F432" s="18" t="str">
        <f>RAW_DATA!F442</f>
        <v>WH-D</v>
      </c>
      <c r="G432" s="18">
        <f>RAW_DATA!G442</f>
        <v>320</v>
      </c>
      <c r="H432" s="18">
        <f>RAW_DATA!H442</f>
        <v>320</v>
      </c>
      <c r="I432" s="24">
        <f>RAW_DATA!I442</f>
        <v>6.42</v>
      </c>
      <c r="J432" s="24">
        <f>RAW_DATA!J442</f>
        <v>3.75</v>
      </c>
      <c r="K432" s="18">
        <f>RAW_DATA!K442</f>
        <v>3</v>
      </c>
      <c r="L432" s="24">
        <f>RAW_DATA!L442</f>
        <v>1695.03</v>
      </c>
      <c r="M432" s="18">
        <f t="shared" si="12"/>
        <v>2</v>
      </c>
      <c r="N432" s="18" t="str">
        <f t="shared" si="13"/>
        <v>On Time</v>
      </c>
    </row>
    <row r="433" spans="1:14" hidden="1" x14ac:dyDescent="0.3">
      <c r="A433" s="13" t="str">
        <f>RAW_DATA!A444</f>
        <v>ORD-0443</v>
      </c>
      <c r="B433" s="14">
        <v>45195</v>
      </c>
      <c r="C433" s="14">
        <v>45199</v>
      </c>
      <c r="D433" s="15" t="s">
        <v>578</v>
      </c>
      <c r="E433" s="15" t="s">
        <v>573</v>
      </c>
      <c r="F433" s="15" t="str">
        <f>RAW_DATA!F444</f>
        <v>WH-D</v>
      </c>
      <c r="G433" s="15">
        <f>RAW_DATA!G444</f>
        <v>73</v>
      </c>
      <c r="H433" s="15">
        <f>RAW_DATA!H444</f>
        <v>73</v>
      </c>
      <c r="I433" s="23">
        <f>RAW_DATA!I444</f>
        <v>10.72</v>
      </c>
      <c r="J433" s="23">
        <f>RAW_DATA!J444</f>
        <v>7.3</v>
      </c>
      <c r="K433" s="15">
        <f>RAW_DATA!K444</f>
        <v>3</v>
      </c>
      <c r="L433" s="23">
        <f>RAW_DATA!L444</f>
        <v>762.73</v>
      </c>
      <c r="M433" s="15">
        <f t="shared" si="12"/>
        <v>4</v>
      </c>
      <c r="N433" s="15" t="str">
        <f t="shared" si="13"/>
        <v>Late</v>
      </c>
    </row>
    <row r="434" spans="1:14" hidden="1" x14ac:dyDescent="0.3">
      <c r="A434" s="16" t="str">
        <f>RAW_DATA!A445</f>
        <v>ORD-0444</v>
      </c>
      <c r="B434" s="17">
        <v>45072</v>
      </c>
      <c r="C434" s="17">
        <v>45073</v>
      </c>
      <c r="D434" s="18" t="s">
        <v>579</v>
      </c>
      <c r="E434" s="18" t="s">
        <v>574</v>
      </c>
      <c r="F434" s="18" t="str">
        <f>RAW_DATA!F445</f>
        <v>WH-B</v>
      </c>
      <c r="G434" s="18">
        <f>RAW_DATA!G445</f>
        <v>87</v>
      </c>
      <c r="H434" s="18">
        <f>RAW_DATA!H445</f>
        <v>87</v>
      </c>
      <c r="I434" s="24">
        <f>RAW_DATA!I445</f>
        <v>7.22</v>
      </c>
      <c r="J434" s="24">
        <f>RAW_DATA!J445</f>
        <v>4.0199999999999996</v>
      </c>
      <c r="K434" s="18">
        <f>RAW_DATA!K445</f>
        <v>3</v>
      </c>
      <c r="L434" s="24">
        <f>RAW_DATA!L445</f>
        <v>389.65</v>
      </c>
      <c r="M434" s="18">
        <f t="shared" si="12"/>
        <v>1</v>
      </c>
      <c r="N434" s="18" t="str">
        <f t="shared" si="13"/>
        <v>On Time</v>
      </c>
    </row>
    <row r="435" spans="1:14" hidden="1" x14ac:dyDescent="0.3">
      <c r="A435" s="13" t="str">
        <f>RAW_DATA!A446</f>
        <v>ORD-0445</v>
      </c>
      <c r="B435" s="14">
        <v>45203</v>
      </c>
      <c r="C435" s="14">
        <v>45208</v>
      </c>
      <c r="D435" s="15" t="s">
        <v>211</v>
      </c>
      <c r="E435" s="15" t="s">
        <v>576</v>
      </c>
      <c r="F435" s="15" t="str">
        <f>RAW_DATA!F446</f>
        <v>WH-D</v>
      </c>
      <c r="G435" s="15">
        <f>RAW_DATA!G446</f>
        <v>247</v>
      </c>
      <c r="H435" s="15">
        <f>RAW_DATA!H446</f>
        <v>247</v>
      </c>
      <c r="I435" s="23">
        <f>RAW_DATA!I446</f>
        <v>27.38</v>
      </c>
      <c r="J435" s="23">
        <f>RAW_DATA!J446</f>
        <v>18.010000000000002</v>
      </c>
      <c r="K435" s="15">
        <f>RAW_DATA!K446</f>
        <v>6</v>
      </c>
      <c r="L435" s="23">
        <f>RAW_DATA!L446</f>
        <v>5580.6</v>
      </c>
      <c r="M435" s="15">
        <f t="shared" si="12"/>
        <v>5</v>
      </c>
      <c r="N435" s="15" t="str">
        <f t="shared" si="13"/>
        <v>On Time</v>
      </c>
    </row>
    <row r="436" spans="1:14" x14ac:dyDescent="0.3">
      <c r="A436" s="16" t="str">
        <f>RAW_DATA!A447</f>
        <v>ORD-0446</v>
      </c>
      <c r="B436" s="17">
        <v>45195</v>
      </c>
      <c r="C436" s="17">
        <v>45200</v>
      </c>
      <c r="D436" s="18" t="s">
        <v>570</v>
      </c>
      <c r="E436" s="18" t="s">
        <v>577</v>
      </c>
      <c r="F436" s="18" t="str">
        <f>RAW_DATA!F447</f>
        <v>WH-D</v>
      </c>
      <c r="G436" s="18">
        <f>RAW_DATA!G447</f>
        <v>178</v>
      </c>
      <c r="H436" s="18">
        <f>RAW_DATA!H447</f>
        <v>178</v>
      </c>
      <c r="I436" s="24">
        <f>RAW_DATA!I447</f>
        <v>6.53</v>
      </c>
      <c r="J436" s="24">
        <f>RAW_DATA!J447</f>
        <v>3.89</v>
      </c>
      <c r="K436" s="18">
        <f>RAW_DATA!K447</f>
        <v>7</v>
      </c>
      <c r="L436" s="24">
        <f>RAW_DATA!L447</f>
        <v>660.38</v>
      </c>
      <c r="M436" s="18">
        <f t="shared" si="12"/>
        <v>5</v>
      </c>
      <c r="N436" s="18" t="str">
        <f t="shared" si="13"/>
        <v>On Time</v>
      </c>
    </row>
    <row r="437" spans="1:14" hidden="1" x14ac:dyDescent="0.3">
      <c r="A437" s="13" t="str">
        <f>RAW_DATA!A449</f>
        <v>ORD-0448</v>
      </c>
      <c r="B437" s="14">
        <v>45080</v>
      </c>
      <c r="C437" s="14">
        <v>45082</v>
      </c>
      <c r="D437" s="15" t="s">
        <v>578</v>
      </c>
      <c r="E437" s="15" t="s">
        <v>576</v>
      </c>
      <c r="F437" s="15" t="str">
        <f>RAW_DATA!F449</f>
        <v>WH-D</v>
      </c>
      <c r="G437" s="15">
        <f>RAW_DATA!G449</f>
        <v>169</v>
      </c>
      <c r="H437" s="15">
        <f>RAW_DATA!H449</f>
        <v>169</v>
      </c>
      <c r="I437" s="23">
        <f>RAW_DATA!I449</f>
        <v>25.56</v>
      </c>
      <c r="J437" s="23">
        <f>RAW_DATA!J449</f>
        <v>16.86</v>
      </c>
      <c r="K437" s="15">
        <f>RAW_DATA!K449</f>
        <v>3</v>
      </c>
      <c r="L437" s="23">
        <f>RAW_DATA!L449</f>
        <v>2886.79</v>
      </c>
      <c r="M437" s="15">
        <f t="shared" si="12"/>
        <v>2</v>
      </c>
      <c r="N437" s="15" t="str">
        <f t="shared" si="13"/>
        <v>On Time</v>
      </c>
    </row>
    <row r="438" spans="1:14" hidden="1" x14ac:dyDescent="0.3">
      <c r="A438" s="16" t="str">
        <f>RAW_DATA!A450</f>
        <v>ORD-0449</v>
      </c>
      <c r="B438" s="17">
        <v>45010</v>
      </c>
      <c r="C438" s="17">
        <v>45014</v>
      </c>
      <c r="D438" s="18" t="s">
        <v>571</v>
      </c>
      <c r="E438" s="18" t="s">
        <v>576</v>
      </c>
      <c r="F438" s="18" t="str">
        <f>RAW_DATA!F450</f>
        <v>WH-B</v>
      </c>
      <c r="G438" s="18">
        <f>RAW_DATA!G450</f>
        <v>213</v>
      </c>
      <c r="H438" s="18">
        <f>RAW_DATA!H450</f>
        <v>213</v>
      </c>
      <c r="I438" s="24">
        <f>RAW_DATA!I450</f>
        <v>16.95</v>
      </c>
      <c r="J438" s="24">
        <f>RAW_DATA!J450</f>
        <v>11.44</v>
      </c>
      <c r="K438" s="18">
        <f>RAW_DATA!K450</f>
        <v>4</v>
      </c>
      <c r="L438" s="24">
        <f>RAW_DATA!L450</f>
        <v>2948.35</v>
      </c>
      <c r="M438" s="18">
        <f t="shared" si="12"/>
        <v>4</v>
      </c>
      <c r="N438" s="18" t="str">
        <f t="shared" si="13"/>
        <v>On Time</v>
      </c>
    </row>
    <row r="439" spans="1:14" hidden="1" x14ac:dyDescent="0.3">
      <c r="A439" s="13" t="str">
        <f>RAW_DATA!A451</f>
        <v>ORD-0450</v>
      </c>
      <c r="B439" s="14">
        <v>45064</v>
      </c>
      <c r="C439" s="14">
        <v>45065</v>
      </c>
      <c r="D439" s="15" t="s">
        <v>579</v>
      </c>
      <c r="E439" s="15" t="s">
        <v>575</v>
      </c>
      <c r="F439" s="15" t="str">
        <f>RAW_DATA!F451</f>
        <v>WH-E</v>
      </c>
      <c r="G439" s="15">
        <f>RAW_DATA!G451</f>
        <v>113</v>
      </c>
      <c r="H439" s="15">
        <f>RAW_DATA!H451</f>
        <v>113</v>
      </c>
      <c r="I439" s="23">
        <f>RAW_DATA!I451</f>
        <v>12.99</v>
      </c>
      <c r="J439" s="23">
        <f>RAW_DATA!J451</f>
        <v>8.33</v>
      </c>
      <c r="K439" s="15">
        <f>RAW_DATA!K451</f>
        <v>3</v>
      </c>
      <c r="L439" s="23">
        <f>RAW_DATA!L451</f>
        <v>1102.8699999999999</v>
      </c>
      <c r="M439" s="15">
        <f t="shared" si="12"/>
        <v>1</v>
      </c>
      <c r="N439" s="15" t="str">
        <f t="shared" si="13"/>
        <v>On Time</v>
      </c>
    </row>
    <row r="440" spans="1:14" x14ac:dyDescent="0.3">
      <c r="A440" s="16" t="str">
        <f>RAW_DATA!A452</f>
        <v>ORD-0451</v>
      </c>
      <c r="B440" s="17">
        <v>44936</v>
      </c>
      <c r="C440" s="17">
        <v>44941</v>
      </c>
      <c r="D440" s="18" t="s">
        <v>570</v>
      </c>
      <c r="E440" s="18" t="s">
        <v>574</v>
      </c>
      <c r="F440" s="18" t="str">
        <f>RAW_DATA!F452</f>
        <v>WH-C</v>
      </c>
      <c r="G440" s="18">
        <f>RAW_DATA!G452</f>
        <v>31</v>
      </c>
      <c r="H440" s="18">
        <f>RAW_DATA!H452</f>
        <v>31</v>
      </c>
      <c r="I440" s="24">
        <f>RAW_DATA!I452</f>
        <v>6.89</v>
      </c>
      <c r="J440" s="24">
        <f>RAW_DATA!J452</f>
        <v>4.16</v>
      </c>
      <c r="K440" s="18">
        <f>RAW_DATA!K452</f>
        <v>7</v>
      </c>
      <c r="L440" s="24">
        <f>RAW_DATA!L452</f>
        <v>171.4</v>
      </c>
      <c r="M440" s="18">
        <f t="shared" si="12"/>
        <v>5</v>
      </c>
      <c r="N440" s="18" t="str">
        <f t="shared" si="13"/>
        <v>On Time</v>
      </c>
    </row>
    <row r="441" spans="1:14" hidden="1" x14ac:dyDescent="0.3">
      <c r="A441" s="13" t="str">
        <f>RAW_DATA!A453</f>
        <v>ORD-0452</v>
      </c>
      <c r="B441" s="14">
        <v>45004</v>
      </c>
      <c r="C441" s="14">
        <v>45005</v>
      </c>
      <c r="D441" s="15" t="s">
        <v>578</v>
      </c>
      <c r="E441" s="15" t="s">
        <v>574</v>
      </c>
      <c r="F441" s="15" t="str">
        <f>RAW_DATA!F453</f>
        <v>WH-A</v>
      </c>
      <c r="G441" s="15">
        <f>RAW_DATA!G453</f>
        <v>195</v>
      </c>
      <c r="H441" s="15">
        <f>RAW_DATA!H453</f>
        <v>195</v>
      </c>
      <c r="I441" s="23">
        <f>RAW_DATA!I453</f>
        <v>10.17</v>
      </c>
      <c r="J441" s="23">
        <f>RAW_DATA!J453</f>
        <v>6.61</v>
      </c>
      <c r="K441" s="15">
        <f>RAW_DATA!K453</f>
        <v>3</v>
      </c>
      <c r="L441" s="23">
        <f>RAW_DATA!L453</f>
        <v>1447.28</v>
      </c>
      <c r="M441" s="15">
        <f t="shared" si="12"/>
        <v>1</v>
      </c>
      <c r="N441" s="15" t="str">
        <f t="shared" si="13"/>
        <v>On Time</v>
      </c>
    </row>
    <row r="442" spans="1:14" hidden="1" x14ac:dyDescent="0.3">
      <c r="A442" s="16" t="str">
        <f>RAW_DATA!A454</f>
        <v>ORD-0453</v>
      </c>
      <c r="B442" s="17">
        <v>45001</v>
      </c>
      <c r="C442" s="17">
        <v>45003</v>
      </c>
      <c r="D442" s="15" t="s">
        <v>578</v>
      </c>
      <c r="E442" s="18" t="s">
        <v>575</v>
      </c>
      <c r="F442" s="18" t="str">
        <f>RAW_DATA!F454</f>
        <v>WH-A</v>
      </c>
      <c r="G442" s="18">
        <f>RAW_DATA!G454</f>
        <v>56</v>
      </c>
      <c r="H442" s="18">
        <f>RAW_DATA!H454</f>
        <v>56</v>
      </c>
      <c r="I442" s="24">
        <f>RAW_DATA!I454</f>
        <v>13.63</v>
      </c>
      <c r="J442" s="24">
        <f>RAW_DATA!J454</f>
        <v>9.94</v>
      </c>
      <c r="K442" s="18">
        <f>RAW_DATA!K454</f>
        <v>3</v>
      </c>
      <c r="L442" s="24">
        <f>RAW_DATA!L454</f>
        <v>584.5</v>
      </c>
      <c r="M442" s="18">
        <f t="shared" si="12"/>
        <v>2</v>
      </c>
      <c r="N442" s="18" t="str">
        <f t="shared" si="13"/>
        <v>On Time</v>
      </c>
    </row>
    <row r="443" spans="1:14" hidden="1" x14ac:dyDescent="0.3">
      <c r="A443" s="13" t="str">
        <f>RAW_DATA!A455</f>
        <v>ORD-0454</v>
      </c>
      <c r="B443" s="14">
        <v>45054</v>
      </c>
      <c r="C443" s="14">
        <v>45058</v>
      </c>
      <c r="D443" s="15" t="s">
        <v>571</v>
      </c>
      <c r="E443" s="15" t="s">
        <v>573</v>
      </c>
      <c r="F443" s="15" t="str">
        <f>RAW_DATA!F455</f>
        <v>WH-A</v>
      </c>
      <c r="G443" s="15">
        <f>RAW_DATA!G455</f>
        <v>146</v>
      </c>
      <c r="H443" s="15">
        <f>RAW_DATA!H455</f>
        <v>146</v>
      </c>
      <c r="I443" s="23">
        <f>RAW_DATA!I455</f>
        <v>9.84</v>
      </c>
      <c r="J443" s="23">
        <f>RAW_DATA!J455</f>
        <v>6.32</v>
      </c>
      <c r="K443" s="15">
        <f>RAW_DATA!K455</f>
        <v>4</v>
      </c>
      <c r="L443" s="23">
        <f>RAW_DATA!L455</f>
        <v>1257.3</v>
      </c>
      <c r="M443" s="15">
        <f t="shared" si="12"/>
        <v>4</v>
      </c>
      <c r="N443" s="15" t="str">
        <f t="shared" si="13"/>
        <v>On Time</v>
      </c>
    </row>
    <row r="444" spans="1:14" hidden="1" x14ac:dyDescent="0.3">
      <c r="A444" s="16" t="str">
        <f>RAW_DATA!A456</f>
        <v>ORD-0455</v>
      </c>
      <c r="B444" s="17">
        <v>45275</v>
      </c>
      <c r="C444" s="17">
        <v>45283</v>
      </c>
      <c r="D444" s="18" t="s">
        <v>572</v>
      </c>
      <c r="E444" s="18" t="s">
        <v>576</v>
      </c>
      <c r="F444" s="18" t="str">
        <f>RAW_DATA!F456</f>
        <v>WH-D</v>
      </c>
      <c r="G444" s="18">
        <f>RAW_DATA!G456</f>
        <v>101</v>
      </c>
      <c r="H444" s="18">
        <f>RAW_DATA!H456</f>
        <v>101</v>
      </c>
      <c r="I444" s="24">
        <f>RAW_DATA!I456</f>
        <v>16.510000000000002</v>
      </c>
      <c r="J444" s="24">
        <f>RAW_DATA!J456</f>
        <v>12.18</v>
      </c>
      <c r="K444" s="18">
        <f>RAW_DATA!K456</f>
        <v>5</v>
      </c>
      <c r="L444" s="24">
        <f>RAW_DATA!L456</f>
        <v>1491.66</v>
      </c>
      <c r="M444" s="18">
        <f t="shared" si="12"/>
        <v>8</v>
      </c>
      <c r="N444" s="18" t="str">
        <f t="shared" si="13"/>
        <v>Late</v>
      </c>
    </row>
    <row r="445" spans="1:14" hidden="1" x14ac:dyDescent="0.3">
      <c r="A445" s="13" t="str">
        <f>RAW_DATA!A457</f>
        <v>ORD-0456</v>
      </c>
      <c r="B445" s="14">
        <v>45028</v>
      </c>
      <c r="C445" s="14">
        <v>45029</v>
      </c>
      <c r="D445" s="15" t="s">
        <v>579</v>
      </c>
      <c r="E445" s="15" t="s">
        <v>576</v>
      </c>
      <c r="F445" s="15" t="str">
        <f>RAW_DATA!F457</f>
        <v>WH-C</v>
      </c>
      <c r="G445" s="15">
        <f>RAW_DATA!G457</f>
        <v>361</v>
      </c>
      <c r="H445" s="15">
        <f>RAW_DATA!H457</f>
        <v>361</v>
      </c>
      <c r="I445" s="23">
        <f>RAW_DATA!I457</f>
        <v>17.36</v>
      </c>
      <c r="J445" s="23">
        <f>RAW_DATA!J457</f>
        <v>11.75</v>
      </c>
      <c r="K445" s="15">
        <f>RAW_DATA!K457</f>
        <v>3</v>
      </c>
      <c r="L445" s="23">
        <f>RAW_DATA!L457</f>
        <v>4643.4799999999996</v>
      </c>
      <c r="M445" s="15">
        <f t="shared" si="12"/>
        <v>1</v>
      </c>
      <c r="N445" s="15" t="str">
        <f t="shared" si="13"/>
        <v>On Time</v>
      </c>
    </row>
    <row r="446" spans="1:14" hidden="1" x14ac:dyDescent="0.3">
      <c r="A446" s="16" t="str">
        <f>RAW_DATA!A458</f>
        <v>ORD-0457</v>
      </c>
      <c r="B446" s="17">
        <v>44988</v>
      </c>
      <c r="C446" s="17">
        <v>44989</v>
      </c>
      <c r="D446" s="18" t="s">
        <v>198</v>
      </c>
      <c r="E446" s="18" t="s">
        <v>575</v>
      </c>
      <c r="F446" s="18" t="str">
        <f>RAW_DATA!F458</f>
        <v>WH-E</v>
      </c>
      <c r="G446" s="18">
        <f>RAW_DATA!G458</f>
        <v>24</v>
      </c>
      <c r="H446" s="18">
        <f>RAW_DATA!H458</f>
        <v>24</v>
      </c>
      <c r="I446" s="24">
        <f>RAW_DATA!I458</f>
        <v>17.23</v>
      </c>
      <c r="J446" s="24">
        <f>RAW_DATA!J458</f>
        <v>11.86</v>
      </c>
      <c r="K446" s="18">
        <f>RAW_DATA!K458</f>
        <v>2</v>
      </c>
      <c r="L446" s="24">
        <f>RAW_DATA!L458</f>
        <v>373.74</v>
      </c>
      <c r="M446" s="18">
        <f t="shared" si="12"/>
        <v>1</v>
      </c>
      <c r="N446" s="18" t="str">
        <f t="shared" si="13"/>
        <v>On Time</v>
      </c>
    </row>
    <row r="447" spans="1:14" hidden="1" x14ac:dyDescent="0.3">
      <c r="A447" s="13" t="str">
        <f>RAW_DATA!A459</f>
        <v>ORD-0458</v>
      </c>
      <c r="B447" s="14">
        <v>45054</v>
      </c>
      <c r="C447" s="14">
        <v>45053</v>
      </c>
      <c r="D447" s="15" t="s">
        <v>198</v>
      </c>
      <c r="E447" s="15" t="s">
        <v>575</v>
      </c>
      <c r="F447" s="15" t="str">
        <f>RAW_DATA!F459</f>
        <v>WH-A</v>
      </c>
      <c r="G447" s="15">
        <f>RAW_DATA!G459</f>
        <v>371</v>
      </c>
      <c r="H447" s="15">
        <f>RAW_DATA!H459</f>
        <v>371</v>
      </c>
      <c r="I447" s="23">
        <f>RAW_DATA!I459</f>
        <v>20.38</v>
      </c>
      <c r="J447" s="23">
        <f>RAW_DATA!J459</f>
        <v>15.27</v>
      </c>
      <c r="K447" s="15">
        <f>RAW_DATA!K459</f>
        <v>2</v>
      </c>
      <c r="L447" s="23">
        <f>RAW_DATA!L459</f>
        <v>7223.54</v>
      </c>
      <c r="M447" s="15" t="s">
        <v>581</v>
      </c>
      <c r="N447" s="15" t="s">
        <v>583</v>
      </c>
    </row>
    <row r="448" spans="1:14" hidden="1" x14ac:dyDescent="0.3">
      <c r="A448" s="16" t="str">
        <f>RAW_DATA!A460</f>
        <v>ORD-0459</v>
      </c>
      <c r="B448" s="17">
        <v>45286</v>
      </c>
      <c r="C448" s="17">
        <v>45287</v>
      </c>
      <c r="D448" s="15" t="s">
        <v>578</v>
      </c>
      <c r="E448" s="18" t="s">
        <v>575</v>
      </c>
      <c r="F448" s="18" t="str">
        <f>RAW_DATA!F460</f>
        <v>WH-B</v>
      </c>
      <c r="G448" s="18">
        <f>RAW_DATA!G460</f>
        <v>84</v>
      </c>
      <c r="H448" s="18">
        <f>RAW_DATA!H460</f>
        <v>109</v>
      </c>
      <c r="I448" s="24">
        <f>RAW_DATA!I460</f>
        <v>14.85</v>
      </c>
      <c r="J448" s="24">
        <f>RAW_DATA!J460</f>
        <v>9.83</v>
      </c>
      <c r="K448" s="18">
        <f>RAW_DATA!K460</f>
        <v>3</v>
      </c>
      <c r="L448" s="24">
        <f>RAW_DATA!L460</f>
        <v>1062.53</v>
      </c>
      <c r="M448" s="18">
        <f t="shared" si="12"/>
        <v>1</v>
      </c>
      <c r="N448" s="18" t="str">
        <f t="shared" si="13"/>
        <v>On Time</v>
      </c>
    </row>
    <row r="449" spans="1:14" hidden="1" x14ac:dyDescent="0.3">
      <c r="A449" s="13" t="str">
        <f>RAW_DATA!A461</f>
        <v>ORD-0460</v>
      </c>
      <c r="B449" s="14">
        <v>44937</v>
      </c>
      <c r="C449" s="14">
        <v>44940</v>
      </c>
      <c r="D449" s="15" t="s">
        <v>211</v>
      </c>
      <c r="E449" s="15" t="s">
        <v>576</v>
      </c>
      <c r="F449" s="15" t="str">
        <f>RAW_DATA!F461</f>
        <v>WH-B</v>
      </c>
      <c r="G449" s="15">
        <f>RAW_DATA!G461</f>
        <v>390</v>
      </c>
      <c r="H449" s="15">
        <f>RAW_DATA!H461</f>
        <v>390</v>
      </c>
      <c r="I449" s="23">
        <f>RAW_DATA!I461</f>
        <v>26.78</v>
      </c>
      <c r="J449" s="23">
        <f>RAW_DATA!J461</f>
        <v>17.329999999999998</v>
      </c>
      <c r="K449" s="15">
        <f>RAW_DATA!K461</f>
        <v>6</v>
      </c>
      <c r="L449" s="23">
        <f>RAW_DATA!L461</f>
        <v>7856.99</v>
      </c>
      <c r="M449" s="15">
        <f t="shared" si="12"/>
        <v>3</v>
      </c>
      <c r="N449" s="15" t="str">
        <f t="shared" si="13"/>
        <v>On Time</v>
      </c>
    </row>
    <row r="450" spans="1:14" hidden="1" x14ac:dyDescent="0.3">
      <c r="A450" s="16" t="str">
        <f>RAW_DATA!A462</f>
        <v>ORD-0461</v>
      </c>
      <c r="B450" s="17">
        <v>45024</v>
      </c>
      <c r="C450" s="17">
        <v>45027</v>
      </c>
      <c r="D450" s="18" t="s">
        <v>579</v>
      </c>
      <c r="E450" s="18" t="s">
        <v>577</v>
      </c>
      <c r="F450" s="18" t="str">
        <f>RAW_DATA!F462</f>
        <v>WH-D</v>
      </c>
      <c r="G450" s="18">
        <f>RAW_DATA!G462</f>
        <v>198</v>
      </c>
      <c r="H450" s="18">
        <f>RAW_DATA!H462</f>
        <v>198</v>
      </c>
      <c r="I450" s="24">
        <f>RAW_DATA!I462</f>
        <v>6.49</v>
      </c>
      <c r="J450" s="24">
        <f>RAW_DATA!J462</f>
        <v>4.7</v>
      </c>
      <c r="K450" s="18">
        <f>RAW_DATA!K462</f>
        <v>3</v>
      </c>
      <c r="L450" s="24">
        <f>RAW_DATA!L462</f>
        <v>1171.82</v>
      </c>
      <c r="M450" s="18">
        <f t="shared" si="12"/>
        <v>3</v>
      </c>
      <c r="N450" s="18" t="str">
        <f t="shared" si="13"/>
        <v>On Time</v>
      </c>
    </row>
    <row r="451" spans="1:14" hidden="1" x14ac:dyDescent="0.3">
      <c r="A451" s="13" t="str">
        <f>RAW_DATA!A463</f>
        <v>ORD-0462</v>
      </c>
      <c r="B451" s="14">
        <v>45006</v>
      </c>
      <c r="C451" s="14">
        <v>45008</v>
      </c>
      <c r="D451" s="15" t="s">
        <v>198</v>
      </c>
      <c r="E451" s="15" t="s">
        <v>573</v>
      </c>
      <c r="F451" s="15" t="str">
        <f>RAW_DATA!F463</f>
        <v>WH-E</v>
      </c>
      <c r="G451" s="15">
        <f>RAW_DATA!G463</f>
        <v>297</v>
      </c>
      <c r="H451" s="15">
        <f>RAW_DATA!H463</f>
        <v>297</v>
      </c>
      <c r="I451" s="23">
        <f>RAW_DATA!I463</f>
        <v>9.61</v>
      </c>
      <c r="J451" s="23">
        <f>RAW_DATA!J463</f>
        <v>6.51</v>
      </c>
      <c r="K451" s="15">
        <f>RAW_DATA!K463</f>
        <v>2</v>
      </c>
      <c r="L451" s="23">
        <f>RAW_DATA!L463</f>
        <v>2179.84</v>
      </c>
      <c r="M451" s="15">
        <f t="shared" ref="M451:M489" si="14">C451-B451</f>
        <v>2</v>
      </c>
      <c r="N451" s="15" t="str">
        <f t="shared" ref="N451:N489" si="15">IF(M451&lt;=K451,"On Time", "Late")</f>
        <v>On Time</v>
      </c>
    </row>
    <row r="452" spans="1:14" hidden="1" x14ac:dyDescent="0.3">
      <c r="A452" s="16" t="str">
        <f>RAW_DATA!A464</f>
        <v>ORD-0463</v>
      </c>
      <c r="B452" s="17">
        <v>45113</v>
      </c>
      <c r="C452" s="17">
        <v>45114</v>
      </c>
      <c r="D452" s="18" t="s">
        <v>198</v>
      </c>
      <c r="E452" s="18" t="s">
        <v>573</v>
      </c>
      <c r="F452" s="18" t="str">
        <f>RAW_DATA!F464</f>
        <v>WH-E</v>
      </c>
      <c r="G452" s="18">
        <f>RAW_DATA!G464</f>
        <v>184</v>
      </c>
      <c r="H452" s="18">
        <f>RAW_DATA!H464</f>
        <v>184</v>
      </c>
      <c r="I452" s="24">
        <f>RAW_DATA!I464</f>
        <v>14.34</v>
      </c>
      <c r="J452" s="24">
        <f>RAW_DATA!J464</f>
        <v>9.43</v>
      </c>
      <c r="K452" s="18">
        <f>RAW_DATA!K464</f>
        <v>2</v>
      </c>
      <c r="L452" s="24">
        <f>RAW_DATA!L464</f>
        <v>1965.01</v>
      </c>
      <c r="M452" s="18">
        <f t="shared" si="14"/>
        <v>1</v>
      </c>
      <c r="N452" s="18" t="str">
        <f t="shared" si="15"/>
        <v>On Time</v>
      </c>
    </row>
    <row r="453" spans="1:14" x14ac:dyDescent="0.3">
      <c r="A453" s="13" t="str">
        <f>RAW_DATA!A465</f>
        <v>ORD-0464</v>
      </c>
      <c r="B453" s="14">
        <v>45240</v>
      </c>
      <c r="C453" s="14">
        <v>45244</v>
      </c>
      <c r="D453" s="15" t="s">
        <v>570</v>
      </c>
      <c r="E453" s="15" t="s">
        <v>577</v>
      </c>
      <c r="F453" s="15" t="str">
        <f>RAW_DATA!F465</f>
        <v>WH-B</v>
      </c>
      <c r="G453" s="15">
        <f>RAW_DATA!G465</f>
        <v>348</v>
      </c>
      <c r="H453" s="15">
        <f>RAW_DATA!H465</f>
        <v>348</v>
      </c>
      <c r="I453" s="23">
        <f>RAW_DATA!I465</f>
        <v>5.15</v>
      </c>
      <c r="J453" s="23">
        <f>RAW_DATA!J465</f>
        <v>3.51</v>
      </c>
      <c r="K453" s="15">
        <f>RAW_DATA!K465</f>
        <v>7</v>
      </c>
      <c r="L453" s="23">
        <f>RAW_DATA!L465</f>
        <v>1131.42</v>
      </c>
      <c r="M453" s="15">
        <f t="shared" si="14"/>
        <v>4</v>
      </c>
      <c r="N453" s="15" t="str">
        <f t="shared" si="15"/>
        <v>On Time</v>
      </c>
    </row>
    <row r="454" spans="1:14" hidden="1" x14ac:dyDescent="0.3">
      <c r="A454" s="16" t="str">
        <f>RAW_DATA!A466</f>
        <v>ORD-0465</v>
      </c>
      <c r="B454" s="17">
        <v>45030</v>
      </c>
      <c r="C454" s="17">
        <v>45031</v>
      </c>
      <c r="D454" s="18" t="s">
        <v>198</v>
      </c>
      <c r="E454" s="18" t="s">
        <v>574</v>
      </c>
      <c r="F454" s="18" t="str">
        <f>RAW_DATA!F466</f>
        <v>WH-A</v>
      </c>
      <c r="G454" s="18">
        <f>RAW_DATA!G466</f>
        <v>70</v>
      </c>
      <c r="H454" s="18">
        <f>RAW_DATA!H466</f>
        <v>69</v>
      </c>
      <c r="I454" s="24">
        <f>RAW_DATA!I466</f>
        <v>10.41</v>
      </c>
      <c r="J454" s="24">
        <f>RAW_DATA!J466</f>
        <v>7.1</v>
      </c>
      <c r="K454" s="18">
        <f>RAW_DATA!K466</f>
        <v>2</v>
      </c>
      <c r="L454" s="24">
        <f>RAW_DATA!L466</f>
        <v>604.1</v>
      </c>
      <c r="M454" s="18">
        <f t="shared" si="14"/>
        <v>1</v>
      </c>
      <c r="N454" s="18" t="str">
        <f t="shared" si="15"/>
        <v>On Time</v>
      </c>
    </row>
    <row r="455" spans="1:14" hidden="1" x14ac:dyDescent="0.3">
      <c r="A455" s="13" t="str">
        <f>RAW_DATA!A467</f>
        <v>ORD-0466</v>
      </c>
      <c r="B455" s="14">
        <v>45040</v>
      </c>
      <c r="C455" s="14">
        <v>45041</v>
      </c>
      <c r="D455" s="15" t="s">
        <v>579</v>
      </c>
      <c r="E455" s="15" t="s">
        <v>573</v>
      </c>
      <c r="F455" s="15" t="str">
        <f>RAW_DATA!F467</f>
        <v>WH-C</v>
      </c>
      <c r="G455" s="15">
        <f>RAW_DATA!G467</f>
        <v>26</v>
      </c>
      <c r="H455" s="15">
        <f>RAW_DATA!H467</f>
        <v>26</v>
      </c>
      <c r="I455" s="23">
        <f>RAW_DATA!I467</f>
        <v>11.1</v>
      </c>
      <c r="J455" s="23">
        <f>RAW_DATA!J467</f>
        <v>7.2</v>
      </c>
      <c r="K455" s="15">
        <f>RAW_DATA!K467</f>
        <v>3</v>
      </c>
      <c r="L455" s="23">
        <f>RAW_DATA!L467</f>
        <v>268.42</v>
      </c>
      <c r="M455" s="15">
        <f t="shared" si="14"/>
        <v>1</v>
      </c>
      <c r="N455" s="15" t="str">
        <f t="shared" si="15"/>
        <v>On Time</v>
      </c>
    </row>
    <row r="456" spans="1:14" hidden="1" x14ac:dyDescent="0.3">
      <c r="A456" s="16" t="str">
        <f>RAW_DATA!A468</f>
        <v>ORD-0467</v>
      </c>
      <c r="B456" s="17">
        <v>45111</v>
      </c>
      <c r="C456" s="17">
        <v>45115</v>
      </c>
      <c r="D456" s="18" t="s">
        <v>569</v>
      </c>
      <c r="E456" s="18" t="s">
        <v>576</v>
      </c>
      <c r="F456" s="18" t="str">
        <f>RAW_DATA!F468</f>
        <v>WH-A</v>
      </c>
      <c r="G456" s="18">
        <f>RAW_DATA!G468</f>
        <v>208</v>
      </c>
      <c r="H456" s="18">
        <f>RAW_DATA!H468</f>
        <v>208</v>
      </c>
      <c r="I456" s="24">
        <f>RAW_DATA!I468</f>
        <v>16.7</v>
      </c>
      <c r="J456" s="24">
        <f>RAW_DATA!J468</f>
        <v>11.25</v>
      </c>
      <c r="K456" s="18">
        <f>RAW_DATA!K468</f>
        <v>4</v>
      </c>
      <c r="L456" s="24">
        <f>RAW_DATA!L468</f>
        <v>2848.75</v>
      </c>
      <c r="M456" s="18">
        <f t="shared" si="14"/>
        <v>4</v>
      </c>
      <c r="N456" s="18" t="str">
        <f t="shared" si="15"/>
        <v>On Time</v>
      </c>
    </row>
    <row r="457" spans="1:14" hidden="1" x14ac:dyDescent="0.3">
      <c r="A457" s="13" t="str">
        <f>RAW_DATA!A469</f>
        <v>ORD-0468</v>
      </c>
      <c r="B457" s="14">
        <v>45037</v>
      </c>
      <c r="C457" s="14">
        <v>45042</v>
      </c>
      <c r="D457" s="15" t="s">
        <v>569</v>
      </c>
      <c r="E457" s="15" t="s">
        <v>575</v>
      </c>
      <c r="F457" s="15" t="str">
        <f>RAW_DATA!F469</f>
        <v>WH-A</v>
      </c>
      <c r="G457" s="15">
        <f>RAW_DATA!G469</f>
        <v>71</v>
      </c>
      <c r="H457" s="15">
        <f>RAW_DATA!H469</f>
        <v>71</v>
      </c>
      <c r="I457" s="23">
        <f>RAW_DATA!I469</f>
        <v>16.78</v>
      </c>
      <c r="J457" s="23">
        <f>RAW_DATA!J469</f>
        <v>9.86</v>
      </c>
      <c r="K457" s="15">
        <f>RAW_DATA!K469</f>
        <v>4</v>
      </c>
      <c r="L457" s="23">
        <f>RAW_DATA!L469</f>
        <v>851.07</v>
      </c>
      <c r="M457" s="15">
        <f t="shared" si="14"/>
        <v>5</v>
      </c>
      <c r="N457" s="15" t="str">
        <f t="shared" si="15"/>
        <v>Late</v>
      </c>
    </row>
    <row r="458" spans="1:14" hidden="1" x14ac:dyDescent="0.3">
      <c r="A458" s="16" t="str">
        <f>RAW_DATA!A470</f>
        <v>ORD-0469</v>
      </c>
      <c r="B458" s="17">
        <v>45212</v>
      </c>
      <c r="C458" s="17">
        <v>45216</v>
      </c>
      <c r="D458" s="18" t="s">
        <v>572</v>
      </c>
      <c r="E458" s="18" t="s">
        <v>577</v>
      </c>
      <c r="F458" s="18" t="str">
        <f>RAW_DATA!F470</f>
        <v>WH-B</v>
      </c>
      <c r="G458" s="18">
        <f>RAW_DATA!G470</f>
        <v>74</v>
      </c>
      <c r="H458" s="18">
        <f>RAW_DATA!H470</f>
        <v>74</v>
      </c>
      <c r="I458" s="24">
        <f>RAW_DATA!I470</f>
        <v>6.88</v>
      </c>
      <c r="J458" s="24">
        <f>RAW_DATA!J470</f>
        <v>4.71</v>
      </c>
      <c r="K458" s="18">
        <f>RAW_DATA!K470</f>
        <v>5</v>
      </c>
      <c r="L458" s="24">
        <f>RAW_DATA!L470</f>
        <v>460.61</v>
      </c>
      <c r="M458" s="18">
        <f t="shared" si="14"/>
        <v>4</v>
      </c>
      <c r="N458" s="18" t="str">
        <f t="shared" si="15"/>
        <v>On Time</v>
      </c>
    </row>
    <row r="459" spans="1:14" hidden="1" x14ac:dyDescent="0.3">
      <c r="A459" s="13" t="str">
        <f>RAW_DATA!A471</f>
        <v>ORD-0470</v>
      </c>
      <c r="B459" s="14">
        <v>45019</v>
      </c>
      <c r="C459" s="14">
        <v>45022</v>
      </c>
      <c r="D459" s="15" t="s">
        <v>571</v>
      </c>
      <c r="E459" s="15" t="s">
        <v>573</v>
      </c>
      <c r="F459" s="15" t="str">
        <f>RAW_DATA!F471</f>
        <v>WH-B</v>
      </c>
      <c r="G459" s="15">
        <f>RAW_DATA!G471</f>
        <v>356</v>
      </c>
      <c r="H459" s="15">
        <f>RAW_DATA!H471</f>
        <v>356</v>
      </c>
      <c r="I459" s="23">
        <f>RAW_DATA!I471</f>
        <v>16.79</v>
      </c>
      <c r="J459" s="23">
        <f>RAW_DATA!J471</f>
        <v>10.72</v>
      </c>
      <c r="K459" s="15">
        <f>RAW_DATA!K471</f>
        <v>4</v>
      </c>
      <c r="L459" s="23">
        <f>RAW_DATA!L471</f>
        <v>4241.4399999999996</v>
      </c>
      <c r="M459" s="15">
        <f t="shared" si="14"/>
        <v>3</v>
      </c>
      <c r="N459" s="15" t="str">
        <f t="shared" si="15"/>
        <v>On Time</v>
      </c>
    </row>
    <row r="460" spans="1:14" hidden="1" x14ac:dyDescent="0.3">
      <c r="A460" s="16" t="str">
        <f>RAW_DATA!A472</f>
        <v>ORD-0471</v>
      </c>
      <c r="B460" s="17">
        <v>45117</v>
      </c>
      <c r="C460" s="17">
        <v>45123</v>
      </c>
      <c r="D460" s="18" t="s">
        <v>211</v>
      </c>
      <c r="E460" s="18" t="s">
        <v>577</v>
      </c>
      <c r="F460" s="18" t="str">
        <f>RAW_DATA!F472</f>
        <v>WH-C</v>
      </c>
      <c r="G460" s="18">
        <f>RAW_DATA!G472</f>
        <v>240</v>
      </c>
      <c r="H460" s="18">
        <f>RAW_DATA!H472</f>
        <v>240</v>
      </c>
      <c r="I460" s="24">
        <f>RAW_DATA!I472</f>
        <v>5.96</v>
      </c>
      <c r="J460" s="24">
        <f>RAW_DATA!J472</f>
        <v>3.56</v>
      </c>
      <c r="K460" s="18">
        <f>RAW_DATA!K472</f>
        <v>6</v>
      </c>
      <c r="L460" s="24">
        <f>RAW_DATA!L472</f>
        <v>1048.67</v>
      </c>
      <c r="M460" s="18">
        <f t="shared" si="14"/>
        <v>6</v>
      </c>
      <c r="N460" s="18" t="str">
        <f t="shared" si="15"/>
        <v>On Time</v>
      </c>
    </row>
    <row r="461" spans="1:14" hidden="1" x14ac:dyDescent="0.3">
      <c r="A461" s="13" t="str">
        <f>RAW_DATA!A473</f>
        <v>ORD-0472</v>
      </c>
      <c r="B461" s="14">
        <v>45111</v>
      </c>
      <c r="C461" s="14">
        <v>45119</v>
      </c>
      <c r="D461" s="15" t="s">
        <v>571</v>
      </c>
      <c r="E461" s="15" t="s">
        <v>577</v>
      </c>
      <c r="F461" s="15" t="str">
        <f>RAW_DATA!F473</f>
        <v>WH-C</v>
      </c>
      <c r="G461" s="15">
        <f>RAW_DATA!G473</f>
        <v>223</v>
      </c>
      <c r="H461" s="15">
        <f>RAW_DATA!H473</f>
        <v>160</v>
      </c>
      <c r="I461" s="23">
        <f>RAW_DATA!I473</f>
        <v>8.34</v>
      </c>
      <c r="J461" s="23">
        <f>RAW_DATA!J473</f>
        <v>5.58</v>
      </c>
      <c r="K461" s="15">
        <f>RAW_DATA!K473</f>
        <v>4</v>
      </c>
      <c r="L461" s="23">
        <f>RAW_DATA!L473</f>
        <v>1506.36</v>
      </c>
      <c r="M461" s="15">
        <f t="shared" si="14"/>
        <v>8</v>
      </c>
      <c r="N461" s="15" t="str">
        <f t="shared" si="15"/>
        <v>Late</v>
      </c>
    </row>
    <row r="462" spans="1:14" hidden="1" x14ac:dyDescent="0.3">
      <c r="A462" s="16" t="str">
        <f>RAW_DATA!A474</f>
        <v>ORD-0473</v>
      </c>
      <c r="B462" s="17">
        <v>45040</v>
      </c>
      <c r="C462" s="17">
        <v>45042</v>
      </c>
      <c r="D462" s="18" t="s">
        <v>579</v>
      </c>
      <c r="E462" s="18" t="s">
        <v>573</v>
      </c>
      <c r="F462" s="18" t="str">
        <f>RAW_DATA!F474</f>
        <v>WH-C</v>
      </c>
      <c r="G462" s="18">
        <f>RAW_DATA!G474</f>
        <v>31</v>
      </c>
      <c r="H462" s="18">
        <f>RAW_DATA!H474</f>
        <v>31</v>
      </c>
      <c r="I462" s="24">
        <f>RAW_DATA!I474</f>
        <v>16.39</v>
      </c>
      <c r="J462" s="24">
        <f>RAW_DATA!J474</f>
        <v>11.71</v>
      </c>
      <c r="K462" s="18">
        <f>RAW_DATA!K474</f>
        <v>3</v>
      </c>
      <c r="L462" s="24">
        <f>RAW_DATA!L474</f>
        <v>526.9</v>
      </c>
      <c r="M462" s="18">
        <f t="shared" si="14"/>
        <v>2</v>
      </c>
      <c r="N462" s="18" t="str">
        <f t="shared" si="15"/>
        <v>On Time</v>
      </c>
    </row>
    <row r="463" spans="1:14" hidden="1" x14ac:dyDescent="0.3">
      <c r="A463" s="13" t="str">
        <f>RAW_DATA!A475</f>
        <v>ORD-0474</v>
      </c>
      <c r="B463" s="14">
        <v>45162</v>
      </c>
      <c r="C463" s="14">
        <v>45163</v>
      </c>
      <c r="D463" s="15" t="s">
        <v>198</v>
      </c>
      <c r="E463" s="15" t="s">
        <v>573</v>
      </c>
      <c r="F463" s="15" t="str">
        <f>RAW_DATA!F475</f>
        <v>WH-A</v>
      </c>
      <c r="G463" s="15">
        <f>RAW_DATA!G475</f>
        <v>155</v>
      </c>
      <c r="H463" s="15">
        <f>RAW_DATA!H475</f>
        <v>155</v>
      </c>
      <c r="I463" s="23">
        <f>RAW_DATA!I475</f>
        <v>13.79</v>
      </c>
      <c r="J463" s="23">
        <f>RAW_DATA!J475</f>
        <v>8.23</v>
      </c>
      <c r="K463" s="15">
        <f>RAW_DATA!K475</f>
        <v>2</v>
      </c>
      <c r="L463" s="23">
        <f>RAW_DATA!L475</f>
        <v>1768.87</v>
      </c>
      <c r="M463" s="15">
        <f t="shared" si="14"/>
        <v>1</v>
      </c>
      <c r="N463" s="15" t="str">
        <f t="shared" si="15"/>
        <v>On Time</v>
      </c>
    </row>
    <row r="464" spans="1:14" hidden="1" x14ac:dyDescent="0.3">
      <c r="A464" s="16" t="str">
        <f>RAW_DATA!A476</f>
        <v>ORD-0475</v>
      </c>
      <c r="B464" s="17">
        <v>45218</v>
      </c>
      <c r="C464" s="17">
        <v>45228</v>
      </c>
      <c r="D464" s="18" t="s">
        <v>569</v>
      </c>
      <c r="E464" s="18" t="s">
        <v>577</v>
      </c>
      <c r="F464" s="18" t="str">
        <f>RAW_DATA!F476</f>
        <v>WH-D</v>
      </c>
      <c r="G464" s="18">
        <f>RAW_DATA!G476</f>
        <v>59</v>
      </c>
      <c r="H464" s="18">
        <f>RAW_DATA!H476</f>
        <v>59</v>
      </c>
      <c r="I464" s="24">
        <f>RAW_DATA!I476</f>
        <v>7.65</v>
      </c>
      <c r="J464" s="24">
        <f>RAW_DATA!J476</f>
        <v>4.47</v>
      </c>
      <c r="K464" s="18">
        <f>RAW_DATA!K476</f>
        <v>4</v>
      </c>
      <c r="L464" s="24">
        <f>RAW_DATA!L476</f>
        <v>368.01</v>
      </c>
      <c r="M464" s="18">
        <f t="shared" si="14"/>
        <v>10</v>
      </c>
      <c r="N464" s="18" t="str">
        <f t="shared" si="15"/>
        <v>Late</v>
      </c>
    </row>
    <row r="465" spans="1:14" hidden="1" x14ac:dyDescent="0.3">
      <c r="A465" s="13" t="str">
        <f>RAW_DATA!A477</f>
        <v>ORD-0476</v>
      </c>
      <c r="B465" s="14">
        <v>44946</v>
      </c>
      <c r="C465" s="14">
        <v>44950</v>
      </c>
      <c r="D465" s="15" t="s">
        <v>569</v>
      </c>
      <c r="E465" s="15" t="s">
        <v>577</v>
      </c>
      <c r="F465" s="15" t="str">
        <f>RAW_DATA!F477</f>
        <v>WH-C</v>
      </c>
      <c r="G465" s="15">
        <f>RAW_DATA!G477</f>
        <v>60</v>
      </c>
      <c r="H465" s="15">
        <f>RAW_DATA!H477</f>
        <v>60</v>
      </c>
      <c r="I465" s="23">
        <f>RAW_DATA!I477</f>
        <v>8.1199999999999992</v>
      </c>
      <c r="J465" s="23">
        <f>RAW_DATA!J477</f>
        <v>5.01</v>
      </c>
      <c r="K465" s="15">
        <f>RAW_DATA!K477</f>
        <v>4</v>
      </c>
      <c r="L465" s="23">
        <f>RAW_DATA!L477</f>
        <v>429.22</v>
      </c>
      <c r="M465" s="15">
        <f t="shared" si="14"/>
        <v>4</v>
      </c>
      <c r="N465" s="15" t="str">
        <f t="shared" si="15"/>
        <v>On Time</v>
      </c>
    </row>
    <row r="466" spans="1:14" hidden="1" x14ac:dyDescent="0.3">
      <c r="A466" s="16" t="str">
        <f>RAW_DATA!A478</f>
        <v>ORD-0477</v>
      </c>
      <c r="B466" s="17">
        <v>45043</v>
      </c>
      <c r="C466" s="17">
        <v>45044</v>
      </c>
      <c r="D466" s="18" t="s">
        <v>571</v>
      </c>
      <c r="E466" s="18" t="s">
        <v>576</v>
      </c>
      <c r="F466" s="18" t="str">
        <f>RAW_DATA!F478</f>
        <v>WH-A</v>
      </c>
      <c r="G466" s="18">
        <f>RAW_DATA!G478</f>
        <v>344</v>
      </c>
      <c r="H466" s="18">
        <f>RAW_DATA!H478</f>
        <v>344</v>
      </c>
      <c r="I466" s="24">
        <f>RAW_DATA!I478</f>
        <v>20.59</v>
      </c>
      <c r="J466" s="24">
        <f>RAW_DATA!J478</f>
        <v>12.58</v>
      </c>
      <c r="K466" s="18">
        <f>RAW_DATA!K478</f>
        <v>4</v>
      </c>
      <c r="L466" s="24">
        <f>RAW_DATA!L478</f>
        <v>4001.7</v>
      </c>
      <c r="M466" s="18">
        <f t="shared" si="14"/>
        <v>1</v>
      </c>
      <c r="N466" s="18" t="str">
        <f t="shared" si="15"/>
        <v>On Time</v>
      </c>
    </row>
    <row r="467" spans="1:14" hidden="1" x14ac:dyDescent="0.3">
      <c r="A467" s="13" t="str">
        <f>RAW_DATA!A479</f>
        <v>ORD-0478</v>
      </c>
      <c r="B467" s="14">
        <v>45284</v>
      </c>
      <c r="C467" s="14">
        <v>45285</v>
      </c>
      <c r="D467" s="15" t="s">
        <v>198</v>
      </c>
      <c r="E467" s="15" t="s">
        <v>575</v>
      </c>
      <c r="F467" s="15" t="str">
        <f>RAW_DATA!F479</f>
        <v>WH-E</v>
      </c>
      <c r="G467" s="15">
        <f>RAW_DATA!G479</f>
        <v>364</v>
      </c>
      <c r="H467" s="15">
        <f>RAW_DATA!H479</f>
        <v>364</v>
      </c>
      <c r="I467" s="23">
        <f>RAW_DATA!I479</f>
        <v>15.54</v>
      </c>
      <c r="J467" s="23">
        <f>RAW_DATA!J479</f>
        <v>9.93</v>
      </c>
      <c r="K467" s="15">
        <f>RAW_DATA!K479</f>
        <v>2</v>
      </c>
      <c r="L467" s="23">
        <f>RAW_DATA!L479</f>
        <v>4543.74</v>
      </c>
      <c r="M467" s="15">
        <f t="shared" si="14"/>
        <v>1</v>
      </c>
      <c r="N467" s="15" t="str">
        <f t="shared" si="15"/>
        <v>On Time</v>
      </c>
    </row>
    <row r="468" spans="1:14" hidden="1" x14ac:dyDescent="0.3">
      <c r="A468" s="16" t="str">
        <f>RAW_DATA!A480</f>
        <v>ORD-0479</v>
      </c>
      <c r="B468" s="17">
        <v>45075</v>
      </c>
      <c r="C468" s="17">
        <v>45077</v>
      </c>
      <c r="D468" s="18" t="s">
        <v>569</v>
      </c>
      <c r="E468" s="18" t="s">
        <v>574</v>
      </c>
      <c r="F468" s="18" t="str">
        <f>RAW_DATA!F480</f>
        <v>WH-D</v>
      </c>
      <c r="G468" s="18">
        <f>RAW_DATA!G480</f>
        <v>87</v>
      </c>
      <c r="H468" s="18">
        <f>RAW_DATA!H480</f>
        <v>87</v>
      </c>
      <c r="I468" s="24">
        <f>RAW_DATA!I480</f>
        <v>8.68</v>
      </c>
      <c r="J468" s="24">
        <f>RAW_DATA!J480</f>
        <v>6.07</v>
      </c>
      <c r="K468" s="18">
        <f>RAW_DATA!K480</f>
        <v>4</v>
      </c>
      <c r="L468" s="24">
        <f>RAW_DATA!L480</f>
        <v>648.97</v>
      </c>
      <c r="M468" s="18">
        <f t="shared" si="14"/>
        <v>2</v>
      </c>
      <c r="N468" s="18" t="str">
        <f t="shared" si="15"/>
        <v>On Time</v>
      </c>
    </row>
    <row r="469" spans="1:14" hidden="1" x14ac:dyDescent="0.3">
      <c r="A469" s="13" t="str">
        <f>RAW_DATA!A481</f>
        <v>ORD-0480</v>
      </c>
      <c r="B469" s="14">
        <v>45183</v>
      </c>
      <c r="C469" s="14">
        <v>45186</v>
      </c>
      <c r="D469" s="15" t="s">
        <v>579</v>
      </c>
      <c r="E469" s="15" t="s">
        <v>573</v>
      </c>
      <c r="F469" s="15" t="str">
        <f>RAW_DATA!F481</f>
        <v>WH-D</v>
      </c>
      <c r="G469" s="15">
        <f>RAW_DATA!G481</f>
        <v>86</v>
      </c>
      <c r="H469" s="15">
        <f>RAW_DATA!H481</f>
        <v>86</v>
      </c>
      <c r="I469" s="23">
        <f>RAW_DATA!I481</f>
        <v>13.06</v>
      </c>
      <c r="J469" s="23">
        <f>RAW_DATA!J481</f>
        <v>7.7</v>
      </c>
      <c r="K469" s="15">
        <f>RAW_DATA!K481</f>
        <v>3</v>
      </c>
      <c r="L469" s="23">
        <f>RAW_DATA!L481</f>
        <v>753.05</v>
      </c>
      <c r="M469" s="15">
        <f t="shared" si="14"/>
        <v>3</v>
      </c>
      <c r="N469" s="15" t="str">
        <f t="shared" si="15"/>
        <v>On Time</v>
      </c>
    </row>
    <row r="470" spans="1:14" hidden="1" x14ac:dyDescent="0.3">
      <c r="A470" s="16" t="str">
        <f>RAW_DATA!A482</f>
        <v>ORD-0481</v>
      </c>
      <c r="B470" s="17">
        <v>45195</v>
      </c>
      <c r="C470" s="17">
        <v>45191</v>
      </c>
      <c r="D470" s="18" t="s">
        <v>572</v>
      </c>
      <c r="E470" s="18" t="s">
        <v>577</v>
      </c>
      <c r="F470" s="18" t="str">
        <f>RAW_DATA!F482</f>
        <v>WH-E</v>
      </c>
      <c r="G470" s="18">
        <f>RAW_DATA!G482</f>
        <v>156</v>
      </c>
      <c r="H470" s="18">
        <f>RAW_DATA!H482</f>
        <v>156</v>
      </c>
      <c r="I470" s="24">
        <f>RAW_DATA!I482</f>
        <v>5.96</v>
      </c>
      <c r="J470" s="24">
        <f>RAW_DATA!J482</f>
        <v>4.38</v>
      </c>
      <c r="K470" s="18">
        <f>RAW_DATA!K482</f>
        <v>5</v>
      </c>
      <c r="L470" s="24">
        <f>RAW_DATA!L482</f>
        <v>651.67999999999995</v>
      </c>
      <c r="M470" s="18" t="s">
        <v>581</v>
      </c>
      <c r="N470" s="18" t="s">
        <v>583</v>
      </c>
    </row>
    <row r="471" spans="1:14" hidden="1" x14ac:dyDescent="0.3">
      <c r="A471" s="13" t="str">
        <f>RAW_DATA!A483</f>
        <v>ORD-0482</v>
      </c>
      <c r="B471" s="14">
        <v>45105</v>
      </c>
      <c r="C471" s="14">
        <v>45108</v>
      </c>
      <c r="D471" s="15" t="s">
        <v>571</v>
      </c>
      <c r="E471" s="15" t="s">
        <v>576</v>
      </c>
      <c r="F471" s="15" t="str">
        <f>RAW_DATA!F483</f>
        <v>WH-C</v>
      </c>
      <c r="G471" s="15">
        <f>RAW_DATA!G483</f>
        <v>324</v>
      </c>
      <c r="H471" s="15">
        <f>RAW_DATA!H483</f>
        <v>324</v>
      </c>
      <c r="I471" s="23">
        <f>RAW_DATA!I483</f>
        <v>25.24</v>
      </c>
      <c r="J471" s="23">
        <f>RAW_DATA!J483</f>
        <v>14.74</v>
      </c>
      <c r="K471" s="15">
        <f>RAW_DATA!K483</f>
        <v>4</v>
      </c>
      <c r="L471" s="23">
        <f>RAW_DATA!L483</f>
        <v>5300.28</v>
      </c>
      <c r="M471" s="15">
        <f t="shared" si="14"/>
        <v>3</v>
      </c>
      <c r="N471" s="15" t="str">
        <f t="shared" si="15"/>
        <v>On Time</v>
      </c>
    </row>
    <row r="472" spans="1:14" x14ac:dyDescent="0.3">
      <c r="A472" s="16" t="str">
        <f>RAW_DATA!A484</f>
        <v>ORD-0483</v>
      </c>
      <c r="B472" s="17">
        <v>45152</v>
      </c>
      <c r="C472" s="17">
        <v>45159</v>
      </c>
      <c r="D472" s="18" t="s">
        <v>570</v>
      </c>
      <c r="E472" s="18" t="s">
        <v>577</v>
      </c>
      <c r="F472" s="18" t="str">
        <f>RAW_DATA!F484</f>
        <v>WH-B</v>
      </c>
      <c r="G472" s="18">
        <f>RAW_DATA!G484</f>
        <v>139</v>
      </c>
      <c r="H472" s="18">
        <f>RAW_DATA!H484</f>
        <v>139</v>
      </c>
      <c r="I472" s="24">
        <f>RAW_DATA!I484</f>
        <v>6.15</v>
      </c>
      <c r="J472" s="24">
        <f>RAW_DATA!J484</f>
        <v>4.3099999999999996</v>
      </c>
      <c r="K472" s="18">
        <f>RAW_DATA!K484</f>
        <v>7</v>
      </c>
      <c r="L472" s="24">
        <f>RAW_DATA!L484</f>
        <v>845.71</v>
      </c>
      <c r="M472" s="18">
        <f t="shared" si="14"/>
        <v>7</v>
      </c>
      <c r="N472" s="18" t="str">
        <f t="shared" si="15"/>
        <v>On Time</v>
      </c>
    </row>
    <row r="473" spans="1:14" hidden="1" x14ac:dyDescent="0.3">
      <c r="A473" s="13" t="str">
        <f>RAW_DATA!A485</f>
        <v>ORD-0484</v>
      </c>
      <c r="B473" s="14">
        <v>45244</v>
      </c>
      <c r="C473" s="14">
        <v>45251</v>
      </c>
      <c r="D473" s="15" t="s">
        <v>569</v>
      </c>
      <c r="E473" s="15" t="s">
        <v>573</v>
      </c>
      <c r="F473" s="15" t="str">
        <f>RAW_DATA!F485</f>
        <v>WH-B</v>
      </c>
      <c r="G473" s="15">
        <f>RAW_DATA!G485</f>
        <v>27</v>
      </c>
      <c r="H473" s="15">
        <f>RAW_DATA!H485</f>
        <v>27</v>
      </c>
      <c r="I473" s="23">
        <f>RAW_DATA!I485</f>
        <v>15.39</v>
      </c>
      <c r="J473" s="23">
        <f>RAW_DATA!J485</f>
        <v>9.4</v>
      </c>
      <c r="K473" s="15">
        <f>RAW_DATA!K485</f>
        <v>4</v>
      </c>
      <c r="L473" s="23">
        <f>RAW_DATA!L485</f>
        <v>300.17</v>
      </c>
      <c r="M473" s="15">
        <f t="shared" si="14"/>
        <v>7</v>
      </c>
      <c r="N473" s="15" t="str">
        <f t="shared" si="15"/>
        <v>Late</v>
      </c>
    </row>
    <row r="474" spans="1:14" hidden="1" x14ac:dyDescent="0.3">
      <c r="A474" s="16" t="str">
        <f>RAW_DATA!A486</f>
        <v>ORD-0485</v>
      </c>
      <c r="B474" s="17">
        <v>45035</v>
      </c>
      <c r="C474" s="17">
        <v>45040</v>
      </c>
      <c r="D474" s="18" t="s">
        <v>211</v>
      </c>
      <c r="E474" s="18" t="s">
        <v>574</v>
      </c>
      <c r="F474" s="18" t="str">
        <f>RAW_DATA!F486</f>
        <v>WH-E</v>
      </c>
      <c r="G474" s="18">
        <f>RAW_DATA!G486</f>
        <v>152</v>
      </c>
      <c r="H474" s="18">
        <f>RAW_DATA!H486</f>
        <v>152</v>
      </c>
      <c r="I474" s="24">
        <f>RAW_DATA!I486</f>
        <v>9.39</v>
      </c>
      <c r="J474" s="24">
        <f>RAW_DATA!J486</f>
        <v>7.03</v>
      </c>
      <c r="K474" s="18">
        <f>RAW_DATA!K486</f>
        <v>6</v>
      </c>
      <c r="L474" s="24">
        <f>RAW_DATA!L486</f>
        <v>1407.34</v>
      </c>
      <c r="M474" s="18">
        <f t="shared" si="14"/>
        <v>5</v>
      </c>
      <c r="N474" s="18" t="str">
        <f t="shared" si="15"/>
        <v>On Time</v>
      </c>
    </row>
    <row r="475" spans="1:14" hidden="1" x14ac:dyDescent="0.3">
      <c r="A475" s="13" t="str">
        <f>RAW_DATA!A487</f>
        <v>ORD-0486</v>
      </c>
      <c r="B475" s="14">
        <v>45266</v>
      </c>
      <c r="C475" s="14">
        <v>45268</v>
      </c>
      <c r="D475" s="15" t="s">
        <v>578</v>
      </c>
      <c r="E475" s="15" t="s">
        <v>576</v>
      </c>
      <c r="F475" s="15" t="str">
        <f>RAW_DATA!F487</f>
        <v>WH-E</v>
      </c>
      <c r="G475" s="15">
        <f>RAW_DATA!G487</f>
        <v>107</v>
      </c>
      <c r="H475" s="15">
        <f>RAW_DATA!H487</f>
        <v>107</v>
      </c>
      <c r="I475" s="23">
        <f>RAW_DATA!I487</f>
        <v>18.41</v>
      </c>
      <c r="J475" s="23">
        <f>RAW_DATA!J487</f>
        <v>12.69</v>
      </c>
      <c r="K475" s="15">
        <f>RAW_DATA!K487</f>
        <v>3</v>
      </c>
      <c r="L475" s="23">
        <f>RAW_DATA!L487</f>
        <v>1443.06</v>
      </c>
      <c r="M475" s="15">
        <f t="shared" si="14"/>
        <v>2</v>
      </c>
      <c r="N475" s="15" t="str">
        <f t="shared" si="15"/>
        <v>On Time</v>
      </c>
    </row>
    <row r="476" spans="1:14" x14ac:dyDescent="0.3">
      <c r="A476" s="16" t="str">
        <f>RAW_DATA!A488</f>
        <v>ORD-0487</v>
      </c>
      <c r="B476" s="17">
        <v>45125</v>
      </c>
      <c r="C476" s="17">
        <v>45131</v>
      </c>
      <c r="D476" s="18" t="s">
        <v>570</v>
      </c>
      <c r="E476" s="18" t="s">
        <v>573</v>
      </c>
      <c r="F476" s="18" t="str">
        <f>RAW_DATA!F488</f>
        <v>WH-A</v>
      </c>
      <c r="G476" s="18">
        <f>RAW_DATA!G488</f>
        <v>357</v>
      </c>
      <c r="H476" s="18">
        <f>RAW_DATA!H488</f>
        <v>357</v>
      </c>
      <c r="I476" s="24">
        <f>RAW_DATA!I488</f>
        <v>10.38</v>
      </c>
      <c r="J476" s="24">
        <f>RAW_DATA!J488</f>
        <v>6.32</v>
      </c>
      <c r="K476" s="18">
        <f>RAW_DATA!K488</f>
        <v>7</v>
      </c>
      <c r="L476" s="25">
        <f>RAW_DATA!L488</f>
        <v>0</v>
      </c>
      <c r="M476" s="18">
        <f t="shared" si="14"/>
        <v>6</v>
      </c>
      <c r="N476" s="18" t="str">
        <f t="shared" si="15"/>
        <v>On Time</v>
      </c>
    </row>
    <row r="477" spans="1:14" hidden="1" x14ac:dyDescent="0.3">
      <c r="A477" s="13" t="str">
        <f>RAW_DATA!A489</f>
        <v>ORD-0488</v>
      </c>
      <c r="B477" s="14">
        <v>45187</v>
      </c>
      <c r="C477" s="14">
        <v>45192</v>
      </c>
      <c r="D477" s="15" t="s">
        <v>571</v>
      </c>
      <c r="E477" s="15" t="s">
        <v>574</v>
      </c>
      <c r="F477" s="15" t="str">
        <f>RAW_DATA!F489</f>
        <v>WH-D</v>
      </c>
      <c r="G477" s="15">
        <f>RAW_DATA!G489</f>
        <v>181</v>
      </c>
      <c r="H477" s="15">
        <f>RAW_DATA!H489</f>
        <v>181</v>
      </c>
      <c r="I477" s="23">
        <f>RAW_DATA!I489</f>
        <v>9.27</v>
      </c>
      <c r="J477" s="23">
        <f>RAW_DATA!J489</f>
        <v>5.26</v>
      </c>
      <c r="K477" s="15">
        <f>RAW_DATA!K489</f>
        <v>4</v>
      </c>
      <c r="L477" s="23">
        <f>RAW_DATA!L489</f>
        <v>970.46</v>
      </c>
      <c r="M477" s="15">
        <f t="shared" si="14"/>
        <v>5</v>
      </c>
      <c r="N477" s="15" t="str">
        <f t="shared" si="15"/>
        <v>Late</v>
      </c>
    </row>
    <row r="478" spans="1:14" x14ac:dyDescent="0.3">
      <c r="A478" s="16" t="str">
        <f>RAW_DATA!A490</f>
        <v>ORD-0489</v>
      </c>
      <c r="B478" s="17">
        <v>44947</v>
      </c>
      <c r="C478" s="17">
        <v>44952</v>
      </c>
      <c r="D478" s="18" t="s">
        <v>570</v>
      </c>
      <c r="E478" s="18" t="s">
        <v>577</v>
      </c>
      <c r="F478" s="18" t="str">
        <f>RAW_DATA!F490</f>
        <v>WH-A</v>
      </c>
      <c r="G478" s="18">
        <f>RAW_DATA!G490</f>
        <v>176</v>
      </c>
      <c r="H478" s="18">
        <f>RAW_DATA!H490</f>
        <v>176</v>
      </c>
      <c r="I478" s="24">
        <f>RAW_DATA!I490</f>
        <v>6.22</v>
      </c>
      <c r="J478" s="24">
        <f>RAW_DATA!J490</f>
        <v>3.62</v>
      </c>
      <c r="K478" s="18">
        <f>RAW_DATA!K490</f>
        <v>7</v>
      </c>
      <c r="L478" s="24">
        <f>RAW_DATA!L490</f>
        <v>705.97</v>
      </c>
      <c r="M478" s="18">
        <f t="shared" si="14"/>
        <v>5</v>
      </c>
      <c r="N478" s="18" t="str">
        <f t="shared" si="15"/>
        <v>On Time</v>
      </c>
    </row>
    <row r="479" spans="1:14" hidden="1" x14ac:dyDescent="0.3">
      <c r="A479" s="13" t="str">
        <f>RAW_DATA!A491</f>
        <v>ORD-0490</v>
      </c>
      <c r="B479" s="14">
        <v>45047</v>
      </c>
      <c r="C479" s="14">
        <v>45058</v>
      </c>
      <c r="D479" s="15" t="s">
        <v>211</v>
      </c>
      <c r="E479" s="15" t="s">
        <v>575</v>
      </c>
      <c r="F479" s="15" t="str">
        <f>RAW_DATA!F491</f>
        <v>WH-C</v>
      </c>
      <c r="G479" s="15">
        <f>RAW_DATA!G491</f>
        <v>161</v>
      </c>
      <c r="H479" s="15">
        <f>RAW_DATA!H491</f>
        <v>161</v>
      </c>
      <c r="I479" s="23">
        <f>RAW_DATA!I491</f>
        <v>17.63</v>
      </c>
      <c r="J479" s="23">
        <f>RAW_DATA!J491</f>
        <v>12.79</v>
      </c>
      <c r="K479" s="15">
        <f>RAW_DATA!K491</f>
        <v>6</v>
      </c>
      <c r="L479" s="23">
        <f>RAW_DATA!L491</f>
        <v>2953.38</v>
      </c>
      <c r="M479" s="15">
        <f t="shared" si="14"/>
        <v>11</v>
      </c>
      <c r="N479" s="15" t="str">
        <f t="shared" si="15"/>
        <v>Late</v>
      </c>
    </row>
    <row r="480" spans="1:14" hidden="1" x14ac:dyDescent="0.3">
      <c r="A480" s="16" t="str">
        <f>RAW_DATA!A492</f>
        <v>ORD-0491</v>
      </c>
      <c r="B480" s="17">
        <v>45042</v>
      </c>
      <c r="C480" s="17">
        <v>45044</v>
      </c>
      <c r="D480" s="15" t="s">
        <v>578</v>
      </c>
      <c r="E480" s="18" t="s">
        <v>577</v>
      </c>
      <c r="F480" s="18" t="str">
        <f>RAW_DATA!F492</f>
        <v>WH-C</v>
      </c>
      <c r="G480" s="18">
        <f>RAW_DATA!G492</f>
        <v>356</v>
      </c>
      <c r="H480" s="18">
        <f>RAW_DATA!H492</f>
        <v>356</v>
      </c>
      <c r="I480" s="24">
        <f>RAW_DATA!I492</f>
        <v>7.43</v>
      </c>
      <c r="J480" s="24">
        <f>RAW_DATA!J492</f>
        <v>4.8600000000000003</v>
      </c>
      <c r="K480" s="18">
        <f>RAW_DATA!K492</f>
        <v>3</v>
      </c>
      <c r="L480" s="24">
        <f>RAW_DATA!L492</f>
        <v>2260.9699999999998</v>
      </c>
      <c r="M480" s="18">
        <f t="shared" si="14"/>
        <v>2</v>
      </c>
      <c r="N480" s="18" t="str">
        <f t="shared" si="15"/>
        <v>On Time</v>
      </c>
    </row>
    <row r="481" spans="1:14" hidden="1" x14ac:dyDescent="0.3">
      <c r="A481" s="13" t="str">
        <f>RAW_DATA!A493</f>
        <v>ORD-0492</v>
      </c>
      <c r="B481" s="14">
        <v>45220</v>
      </c>
      <c r="C481" s="14">
        <v>45223</v>
      </c>
      <c r="D481" s="15" t="s">
        <v>572</v>
      </c>
      <c r="E481" s="15" t="s">
        <v>576</v>
      </c>
      <c r="F481" s="15" t="str">
        <f>RAW_DATA!F493</f>
        <v>WH-B</v>
      </c>
      <c r="G481" s="15">
        <f>RAW_DATA!G493</f>
        <v>329</v>
      </c>
      <c r="H481" s="15">
        <f>RAW_DATA!H493</f>
        <v>329</v>
      </c>
      <c r="I481" s="23">
        <f>RAW_DATA!I493</f>
        <v>22.51</v>
      </c>
      <c r="J481" s="23">
        <f>RAW_DATA!J493</f>
        <v>13.31</v>
      </c>
      <c r="K481" s="15">
        <f>RAW_DATA!K493</f>
        <v>5</v>
      </c>
      <c r="L481" s="23">
        <f>RAW_DATA!L493</f>
        <v>4305.1899999999996</v>
      </c>
      <c r="M481" s="15">
        <f t="shared" si="14"/>
        <v>3</v>
      </c>
      <c r="N481" s="15" t="str">
        <f t="shared" si="15"/>
        <v>On Time</v>
      </c>
    </row>
    <row r="482" spans="1:14" hidden="1" x14ac:dyDescent="0.3">
      <c r="A482" s="16" t="str">
        <f>RAW_DATA!A494</f>
        <v>ORD-0493</v>
      </c>
      <c r="B482" s="17">
        <v>45279</v>
      </c>
      <c r="C482" s="17">
        <v>45284</v>
      </c>
      <c r="D482" s="18" t="s">
        <v>572</v>
      </c>
      <c r="E482" s="18" t="s">
        <v>574</v>
      </c>
      <c r="F482" s="18" t="str">
        <f>RAW_DATA!F494</f>
        <v>WH-C</v>
      </c>
      <c r="G482" s="18">
        <f>RAW_DATA!G494</f>
        <v>89</v>
      </c>
      <c r="H482" s="18">
        <f>RAW_DATA!H494</f>
        <v>89</v>
      </c>
      <c r="I482" s="24">
        <f>RAW_DATA!I494</f>
        <v>10.76</v>
      </c>
      <c r="J482" s="24">
        <f>RAW_DATA!J494</f>
        <v>7.58</v>
      </c>
      <c r="K482" s="18">
        <f>RAW_DATA!K494</f>
        <v>5</v>
      </c>
      <c r="L482" s="24">
        <f>RAW_DATA!L494</f>
        <v>872.78</v>
      </c>
      <c r="M482" s="18">
        <f t="shared" si="14"/>
        <v>5</v>
      </c>
      <c r="N482" s="18" t="str">
        <f t="shared" si="15"/>
        <v>On Time</v>
      </c>
    </row>
    <row r="483" spans="1:14" hidden="1" x14ac:dyDescent="0.3">
      <c r="A483" s="13" t="str">
        <f>RAW_DATA!A495</f>
        <v>ORD-0494</v>
      </c>
      <c r="B483" s="14">
        <v>45212</v>
      </c>
      <c r="C483" s="14">
        <v>45213</v>
      </c>
      <c r="D483" s="15" t="s">
        <v>198</v>
      </c>
      <c r="E483" s="15" t="s">
        <v>575</v>
      </c>
      <c r="F483" s="15" t="str">
        <f>RAW_DATA!F495</f>
        <v>WH-A</v>
      </c>
      <c r="G483" s="15">
        <f>RAW_DATA!G495</f>
        <v>114</v>
      </c>
      <c r="H483" s="15">
        <f>RAW_DATA!H495</f>
        <v>114</v>
      </c>
      <c r="I483" s="23">
        <f>RAW_DATA!I495</f>
        <v>19.920000000000002</v>
      </c>
      <c r="J483" s="23">
        <f>RAW_DATA!J495</f>
        <v>13.85</v>
      </c>
      <c r="K483" s="15">
        <f>RAW_DATA!K495</f>
        <v>2</v>
      </c>
      <c r="L483" s="23">
        <f>RAW_DATA!L495</f>
        <v>2146.14</v>
      </c>
      <c r="M483" s="15">
        <f t="shared" si="14"/>
        <v>1</v>
      </c>
      <c r="N483" s="15" t="str">
        <f t="shared" si="15"/>
        <v>On Time</v>
      </c>
    </row>
    <row r="484" spans="1:14" hidden="1" x14ac:dyDescent="0.3">
      <c r="A484" s="16" t="str">
        <f>RAW_DATA!A496</f>
        <v>ORD-0495</v>
      </c>
      <c r="B484" s="17">
        <v>45153</v>
      </c>
      <c r="C484" s="17">
        <v>45156</v>
      </c>
      <c r="D484" s="18" t="s">
        <v>571</v>
      </c>
      <c r="E484" s="18" t="s">
        <v>576</v>
      </c>
      <c r="F484" s="18" t="str">
        <f>RAW_DATA!F496</f>
        <v>WH-C</v>
      </c>
      <c r="G484" s="18">
        <f>RAW_DATA!G496</f>
        <v>97</v>
      </c>
      <c r="H484" s="18">
        <f>RAW_DATA!H496</f>
        <v>97</v>
      </c>
      <c r="I484" s="24">
        <f>RAW_DATA!I496</f>
        <v>17.28</v>
      </c>
      <c r="J484" s="24">
        <f>RAW_DATA!J496</f>
        <v>10.14</v>
      </c>
      <c r="K484" s="18">
        <f>RAW_DATA!K496</f>
        <v>4</v>
      </c>
      <c r="L484" s="24">
        <f>RAW_DATA!L496</f>
        <v>1335.18</v>
      </c>
      <c r="M484" s="18">
        <f t="shared" si="14"/>
        <v>3</v>
      </c>
      <c r="N484" s="18" t="str">
        <f t="shared" si="15"/>
        <v>On Time</v>
      </c>
    </row>
    <row r="485" spans="1:14" hidden="1" x14ac:dyDescent="0.3">
      <c r="A485" s="13" t="str">
        <f>RAW_DATA!A497</f>
        <v>ORD-0496</v>
      </c>
      <c r="B485" s="14">
        <v>45240</v>
      </c>
      <c r="C485" s="14">
        <v>45241</v>
      </c>
      <c r="D485" s="15" t="s">
        <v>579</v>
      </c>
      <c r="E485" s="15" t="s">
        <v>577</v>
      </c>
      <c r="F485" s="15" t="str">
        <f>RAW_DATA!F497</f>
        <v>WH-E</v>
      </c>
      <c r="G485" s="15">
        <f>RAW_DATA!G497</f>
        <v>138</v>
      </c>
      <c r="H485" s="15">
        <f>RAW_DATA!H497</f>
        <v>138</v>
      </c>
      <c r="I485" s="23">
        <f>RAW_DATA!I497</f>
        <v>6.09</v>
      </c>
      <c r="J485" s="23">
        <f>RAW_DATA!J497</f>
        <v>4.1900000000000004</v>
      </c>
      <c r="K485" s="15">
        <f>RAW_DATA!K497</f>
        <v>3</v>
      </c>
      <c r="L485" s="23">
        <f>RAW_DATA!L497</f>
        <v>685.75</v>
      </c>
      <c r="M485" s="15">
        <f t="shared" si="14"/>
        <v>1</v>
      </c>
      <c r="N485" s="15" t="str">
        <f t="shared" si="15"/>
        <v>On Time</v>
      </c>
    </row>
    <row r="486" spans="1:14" x14ac:dyDescent="0.3">
      <c r="A486" s="16" t="str">
        <f>RAW_DATA!A498</f>
        <v>ORD-0497</v>
      </c>
      <c r="B486" s="17">
        <v>45125</v>
      </c>
      <c r="C486" s="17">
        <v>45127</v>
      </c>
      <c r="D486" s="18" t="s">
        <v>570</v>
      </c>
      <c r="E486" s="18" t="s">
        <v>575</v>
      </c>
      <c r="F486" s="18" t="str">
        <f>RAW_DATA!F498</f>
        <v>WH-B</v>
      </c>
      <c r="G486" s="18">
        <f>RAW_DATA!G498</f>
        <v>103</v>
      </c>
      <c r="H486" s="18">
        <f>RAW_DATA!H498</f>
        <v>103</v>
      </c>
      <c r="I486" s="24">
        <f>RAW_DATA!I498</f>
        <v>12.29</v>
      </c>
      <c r="J486" s="24">
        <f>RAW_DATA!J498</f>
        <v>8.64</v>
      </c>
      <c r="K486" s="18">
        <f>RAW_DATA!K498</f>
        <v>7</v>
      </c>
      <c r="L486" s="24">
        <f>RAW_DATA!L498</f>
        <v>808.94</v>
      </c>
      <c r="M486" s="18">
        <f t="shared" si="14"/>
        <v>2</v>
      </c>
      <c r="N486" s="18" t="str">
        <f t="shared" si="15"/>
        <v>On Time</v>
      </c>
    </row>
    <row r="487" spans="1:14" hidden="1" x14ac:dyDescent="0.3">
      <c r="A487" s="13" t="str">
        <f>RAW_DATA!A499</f>
        <v>ORD-0498</v>
      </c>
      <c r="B487" s="14">
        <v>45270</v>
      </c>
      <c r="C487" s="14">
        <v>45275</v>
      </c>
      <c r="D487" s="15" t="s">
        <v>579</v>
      </c>
      <c r="E487" s="15" t="s">
        <v>576</v>
      </c>
      <c r="F487" s="15" t="str">
        <f>RAW_DATA!F499</f>
        <v>WH-B</v>
      </c>
      <c r="G487" s="15">
        <f>RAW_DATA!G499</f>
        <v>53</v>
      </c>
      <c r="H487" s="15">
        <f>RAW_DATA!H499</f>
        <v>53</v>
      </c>
      <c r="I487" s="23">
        <f>RAW_DATA!I499</f>
        <v>27.46</v>
      </c>
      <c r="J487" s="23">
        <f>RAW_DATA!J499</f>
        <v>17.52</v>
      </c>
      <c r="K487" s="15">
        <f>RAW_DATA!K499</f>
        <v>3</v>
      </c>
      <c r="L487" s="23">
        <f>RAW_DATA!L499</f>
        <v>1179.49</v>
      </c>
      <c r="M487" s="15">
        <f t="shared" si="14"/>
        <v>5</v>
      </c>
      <c r="N487" s="15" t="str">
        <f t="shared" si="15"/>
        <v>Late</v>
      </c>
    </row>
    <row r="488" spans="1:14" hidden="1" x14ac:dyDescent="0.3">
      <c r="A488" s="16" t="str">
        <f>RAW_DATA!A500</f>
        <v>ORD-0499</v>
      </c>
      <c r="B488" s="17">
        <v>45145</v>
      </c>
      <c r="C488" s="17">
        <v>45146</v>
      </c>
      <c r="D488" s="18" t="s">
        <v>211</v>
      </c>
      <c r="E488" s="18" t="s">
        <v>576</v>
      </c>
      <c r="F488" s="18" t="str">
        <f>RAW_DATA!F500</f>
        <v>WH-B</v>
      </c>
      <c r="G488" s="18">
        <f>RAW_DATA!G500</f>
        <v>331</v>
      </c>
      <c r="H488" s="18">
        <f>RAW_DATA!H500</f>
        <v>331</v>
      </c>
      <c r="I488" s="24">
        <f>RAW_DATA!I500</f>
        <v>20.56</v>
      </c>
      <c r="J488" s="24">
        <f>RAW_DATA!J500</f>
        <v>12.59</v>
      </c>
      <c r="K488" s="18">
        <f>RAW_DATA!K500</f>
        <v>6</v>
      </c>
      <c r="L488" s="24">
        <f>RAW_DATA!L500</f>
        <v>5279.55</v>
      </c>
      <c r="M488" s="18">
        <f t="shared" si="14"/>
        <v>1</v>
      </c>
      <c r="N488" s="18" t="str">
        <f t="shared" si="15"/>
        <v>On Time</v>
      </c>
    </row>
    <row r="489" spans="1:14" hidden="1" x14ac:dyDescent="0.3">
      <c r="A489" s="13" t="str">
        <f>RAW_DATA!A501</f>
        <v>ORD-0500</v>
      </c>
      <c r="B489" s="14">
        <v>45158</v>
      </c>
      <c r="C489" s="14">
        <v>45159</v>
      </c>
      <c r="D489" s="15" t="s">
        <v>578</v>
      </c>
      <c r="E489" s="15" t="s">
        <v>577</v>
      </c>
      <c r="F489" s="15" t="str">
        <f>RAW_DATA!F501</f>
        <v>WH-A</v>
      </c>
      <c r="G489" s="15">
        <f>RAW_DATA!G501</f>
        <v>145</v>
      </c>
      <c r="H489" s="15">
        <f>RAW_DATA!H501</f>
        <v>145</v>
      </c>
      <c r="I489" s="23">
        <f>RAW_DATA!I501</f>
        <v>6.22</v>
      </c>
      <c r="J489" s="23">
        <f>RAW_DATA!J501</f>
        <v>4.34</v>
      </c>
      <c r="K489" s="15">
        <f>RAW_DATA!K501</f>
        <v>3</v>
      </c>
      <c r="L489" s="26">
        <f>RAW_DATA!L501</f>
        <v>0</v>
      </c>
      <c r="M489" s="15">
        <f t="shared" si="14"/>
        <v>1</v>
      </c>
      <c r="N489" s="15" t="str">
        <f t="shared" si="15"/>
        <v>On Time</v>
      </c>
    </row>
  </sheetData>
  <conditionalFormatting sqref="G1:G1048576">
    <cfRule type="expression" priority="12">
      <formula>OR(G2 &gt; (#REF!+ 3*#REF!), G2&lt; (#REF!- 3*#REF!))</formula>
    </cfRule>
  </conditionalFormatting>
  <conditionalFormatting sqref="G2:G489">
    <cfRule type="expression" dxfId="4" priority="13">
      <formula>ABS($G$2- #REF!) &gt; 1*#REF!</formula>
    </cfRule>
    <cfRule type="expression" priority="14">
      <formula>ABS($G$2-#REF!)&gt;3*#REF! =ABS($G$2+#REF!)&lt;3*#REF!</formula>
    </cfRule>
    <cfRule type="expression" dxfId="3" priority="15" stopIfTrue="1">
      <formula>ABS($G$2-#REF!)&gt;3*#REF!</formula>
    </cfRule>
    <cfRule type="expression" dxfId="2" priority="16">
      <formula>OR(G2 &gt; (#REF!+ 3*#REF!), B1 &lt; (#REF! - 3*#REF!))</formula>
    </cfRule>
  </conditionalFormatting>
  <conditionalFormatting sqref="H2:H489">
    <cfRule type="expression" dxfId="1" priority="17">
      <formula>ABS($H$2-#REF!)&gt; 3*#REF!</formula>
    </cfRule>
  </conditionalFormatting>
  <conditionalFormatting sqref="L2:L489">
    <cfRule type="expression" dxfId="0" priority="18">
      <formula xml:space="preserve"> ABS($L$2-#REF!) &gt; 3*#REF!</formula>
    </cfRule>
  </conditionalFormatting>
  <pageMargins left="0.75" right="0.75" top="1" bottom="1" header="0.5" footer="0.5"/>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0341E-F478-4F46-9364-2A04413BB07F}">
  <dimension ref="A1:E14"/>
  <sheetViews>
    <sheetView workbookViewId="0">
      <selection activeCell="C22" sqref="C22"/>
    </sheetView>
  </sheetViews>
  <sheetFormatPr defaultRowHeight="14.4" x14ac:dyDescent="0.3"/>
  <cols>
    <col min="1" max="1" width="26.88671875" bestFit="1" customWidth="1"/>
    <col min="2" max="2" width="13.77734375" bestFit="1" customWidth="1"/>
    <col min="3" max="3" width="18" bestFit="1" customWidth="1"/>
    <col min="4" max="4" width="25.88671875" bestFit="1" customWidth="1"/>
  </cols>
  <sheetData>
    <row r="1" spans="1:5" x14ac:dyDescent="0.3">
      <c r="A1" s="27" t="s">
        <v>584</v>
      </c>
      <c r="B1" s="27" t="s">
        <v>585</v>
      </c>
      <c r="C1" s="27" t="s">
        <v>586</v>
      </c>
      <c r="D1" s="27" t="s">
        <v>593</v>
      </c>
    </row>
    <row r="2" spans="1:5" x14ac:dyDescent="0.3">
      <c r="A2" s="30" t="s">
        <v>587</v>
      </c>
      <c r="B2" s="30" t="s">
        <v>588</v>
      </c>
      <c r="C2" s="34">
        <v>0.95</v>
      </c>
      <c r="D2" s="30" t="s">
        <v>594</v>
      </c>
    </row>
    <row r="3" spans="1:5" x14ac:dyDescent="0.3">
      <c r="A3" s="30" t="s">
        <v>589</v>
      </c>
      <c r="B3" s="30" t="s">
        <v>592</v>
      </c>
      <c r="C3" s="34">
        <v>0.98</v>
      </c>
      <c r="D3" s="30" t="s">
        <v>595</v>
      </c>
    </row>
    <row r="4" spans="1:5" x14ac:dyDescent="0.3">
      <c r="A4" s="30" t="s">
        <v>590</v>
      </c>
      <c r="B4" s="30" t="s">
        <v>598</v>
      </c>
      <c r="C4" s="30" t="s">
        <v>599</v>
      </c>
      <c r="D4" s="30" t="s">
        <v>597</v>
      </c>
    </row>
    <row r="5" spans="1:5" x14ac:dyDescent="0.3">
      <c r="A5" s="30" t="s">
        <v>591</v>
      </c>
      <c r="B5" s="30" t="s">
        <v>600</v>
      </c>
      <c r="C5" s="30" t="s">
        <v>601</v>
      </c>
      <c r="D5" s="30" t="s">
        <v>602</v>
      </c>
    </row>
    <row r="9" spans="1:5" x14ac:dyDescent="0.3">
      <c r="A9" s="27" t="s">
        <v>587</v>
      </c>
      <c r="B9" s="27" t="s">
        <v>596</v>
      </c>
      <c r="C9" s="27" t="s">
        <v>590</v>
      </c>
      <c r="D9" s="27" t="s">
        <v>603</v>
      </c>
    </row>
    <row r="10" spans="1:5" x14ac:dyDescent="0.3">
      <c r="A10" s="28">
        <f>COUNTIF(Cleaned_Data!N2:N489, "On Time")/COUNTA(Cleaned_Data!A2:A489)</f>
        <v>0.88729508196721307</v>
      </c>
      <c r="B10" s="28">
        <f>SUM(Cleaned_Data!H2:H489)/SUM(Cleaned_Data!G2:G489)</f>
        <v>0.99373516222632552</v>
      </c>
      <c r="C10" s="32">
        <f>SUM(Cleaned_Data!J2:J489)/AVERAGE(Cleaned_Data!L2:L489)</f>
        <v>2.0309160635108907</v>
      </c>
      <c r="D10" s="33">
        <f>365/C10</f>
        <v>179.72185387564281</v>
      </c>
    </row>
    <row r="11" spans="1:5" x14ac:dyDescent="0.3">
      <c r="A11" s="29" t="str">
        <f>IF(A10&gt;=95%,"Target Reached","Needs Improvement")</f>
        <v>Needs Improvement</v>
      </c>
      <c r="B11" s="31" t="str">
        <f>IF(B10&gt;=98%, "Target Reached", "Below Target")</f>
        <v>Target Reached</v>
      </c>
      <c r="C11" s="29" t="str">
        <f>IF(C10&gt;=8,"Target Reached","Below Target")</f>
        <v>Below Target</v>
      </c>
      <c r="D11" s="31" t="s">
        <v>604</v>
      </c>
    </row>
    <row r="14" spans="1:5" x14ac:dyDescent="0.3">
      <c r="A14" s="35"/>
      <c r="B14" s="35"/>
      <c r="C14" s="35"/>
      <c r="D14" s="35"/>
      <c r="E14" s="3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4133A-5957-44BD-A054-3F92CFFC48D1}">
  <dimension ref="A3:M35"/>
  <sheetViews>
    <sheetView topLeftCell="A10" workbookViewId="0">
      <selection activeCell="C9" sqref="C9"/>
    </sheetView>
  </sheetViews>
  <sheetFormatPr defaultRowHeight="14.4" x14ac:dyDescent="0.3"/>
  <cols>
    <col min="1" max="1" width="16.44140625" bestFit="1" customWidth="1"/>
    <col min="2" max="2" width="15.5546875" bestFit="1" customWidth="1"/>
    <col min="3" max="3" width="13.88671875" bestFit="1" customWidth="1"/>
    <col min="4" max="4" width="8" bestFit="1" customWidth="1"/>
    <col min="5" max="5" width="10.77734375" bestFit="1" customWidth="1"/>
    <col min="6" max="6" width="7.6640625" bestFit="1" customWidth="1"/>
    <col min="7" max="7" width="10.77734375" bestFit="1" customWidth="1"/>
    <col min="11" max="11" width="12.5546875" bestFit="1" customWidth="1"/>
    <col min="12" max="12" width="22.77734375" bestFit="1" customWidth="1"/>
    <col min="13" max="13" width="23.88671875" bestFit="1" customWidth="1"/>
    <col min="14" max="14" width="12.88671875" bestFit="1" customWidth="1"/>
  </cols>
  <sheetData>
    <row r="3" spans="1:13" x14ac:dyDescent="0.3">
      <c r="A3" s="36" t="s">
        <v>610</v>
      </c>
      <c r="B3" s="36" t="s">
        <v>607</v>
      </c>
      <c r="K3" s="36" t="s">
        <v>605</v>
      </c>
      <c r="L3" t="s">
        <v>612</v>
      </c>
      <c r="M3" t="s">
        <v>613</v>
      </c>
    </row>
    <row r="4" spans="1:13" x14ac:dyDescent="0.3">
      <c r="A4" s="36" t="s">
        <v>605</v>
      </c>
      <c r="B4" t="s">
        <v>608</v>
      </c>
      <c r="C4" t="s">
        <v>583</v>
      </c>
      <c r="D4" t="s">
        <v>609</v>
      </c>
      <c r="E4" t="s">
        <v>606</v>
      </c>
      <c r="K4" s="37" t="s">
        <v>577</v>
      </c>
      <c r="L4" s="38">
        <v>6.6869387755102023</v>
      </c>
      <c r="M4" s="39">
        <v>4.3732038834951465</v>
      </c>
    </row>
    <row r="5" spans="1:13" x14ac:dyDescent="0.3">
      <c r="A5" s="37" t="s">
        <v>211</v>
      </c>
      <c r="B5" s="38">
        <v>2</v>
      </c>
      <c r="C5" s="38">
        <v>1</v>
      </c>
      <c r="D5" s="38">
        <v>57</v>
      </c>
      <c r="E5" s="38">
        <v>60</v>
      </c>
      <c r="K5" s="37" t="s">
        <v>576</v>
      </c>
      <c r="L5" s="38">
        <v>22.106421052631582</v>
      </c>
      <c r="M5" s="39">
        <v>14.321326530612247</v>
      </c>
    </row>
    <row r="6" spans="1:13" x14ac:dyDescent="0.3">
      <c r="A6" s="37" t="s">
        <v>570</v>
      </c>
      <c r="B6" s="38">
        <v>1</v>
      </c>
      <c r="C6" s="38">
        <v>2</v>
      </c>
      <c r="D6" s="38">
        <v>69</v>
      </c>
      <c r="E6" s="38">
        <v>72</v>
      </c>
      <c r="K6" s="37" t="s">
        <v>573</v>
      </c>
      <c r="L6" s="38">
        <v>13.273763440860213</v>
      </c>
      <c r="M6" s="39">
        <v>8.5874226804123719</v>
      </c>
    </row>
    <row r="7" spans="1:13" x14ac:dyDescent="0.3">
      <c r="A7" s="37" t="s">
        <v>572</v>
      </c>
      <c r="B7" s="38">
        <v>5</v>
      </c>
      <c r="C7" s="38">
        <v>3</v>
      </c>
      <c r="D7" s="38">
        <v>44</v>
      </c>
      <c r="E7" s="38">
        <v>52</v>
      </c>
      <c r="K7" s="37" t="s">
        <v>575</v>
      </c>
      <c r="L7" s="38">
        <v>17.107234042553202</v>
      </c>
      <c r="M7" s="39">
        <v>11.384999999999998</v>
      </c>
    </row>
    <row r="8" spans="1:13" x14ac:dyDescent="0.3">
      <c r="A8" s="37" t="s">
        <v>569</v>
      </c>
      <c r="B8" s="38">
        <v>9</v>
      </c>
      <c r="C8" s="38"/>
      <c r="D8" s="38">
        <v>51</v>
      </c>
      <c r="E8" s="38">
        <v>60</v>
      </c>
      <c r="K8" s="37" t="s">
        <v>574</v>
      </c>
      <c r="L8" s="38">
        <v>9.0376404494382019</v>
      </c>
      <c r="M8" s="39">
        <v>5.9640425531914891</v>
      </c>
    </row>
    <row r="9" spans="1:13" x14ac:dyDescent="0.3">
      <c r="A9" s="37" t="s">
        <v>578</v>
      </c>
      <c r="B9" s="38">
        <v>15</v>
      </c>
      <c r="C9" s="38">
        <v>2</v>
      </c>
      <c r="D9" s="38">
        <v>37</v>
      </c>
      <c r="E9" s="38">
        <v>54</v>
      </c>
      <c r="K9" s="37" t="s">
        <v>606</v>
      </c>
      <c r="L9" s="38">
        <v>13.651002132196179</v>
      </c>
      <c r="M9" s="39">
        <v>8.8944467213114748</v>
      </c>
    </row>
    <row r="10" spans="1:13" x14ac:dyDescent="0.3">
      <c r="A10" s="37" t="s">
        <v>579</v>
      </c>
      <c r="B10" s="38">
        <v>4</v>
      </c>
      <c r="C10" s="38">
        <v>1</v>
      </c>
      <c r="D10" s="38">
        <v>58</v>
      </c>
      <c r="E10" s="38">
        <v>63</v>
      </c>
    </row>
    <row r="11" spans="1:13" x14ac:dyDescent="0.3">
      <c r="A11" s="37" t="s">
        <v>198</v>
      </c>
      <c r="B11" s="38">
        <v>2</v>
      </c>
      <c r="C11" s="38">
        <v>3</v>
      </c>
      <c r="D11" s="38">
        <v>63</v>
      </c>
      <c r="E11" s="38">
        <v>68</v>
      </c>
    </row>
    <row r="12" spans="1:13" x14ac:dyDescent="0.3">
      <c r="A12" s="37" t="s">
        <v>571</v>
      </c>
      <c r="B12" s="38">
        <v>4</v>
      </c>
      <c r="C12" s="38">
        <v>1</v>
      </c>
      <c r="D12" s="38">
        <v>54</v>
      </c>
      <c r="E12" s="38">
        <v>59</v>
      </c>
    </row>
    <row r="13" spans="1:13" x14ac:dyDescent="0.3">
      <c r="A13" s="37" t="s">
        <v>606</v>
      </c>
      <c r="B13" s="38">
        <v>42</v>
      </c>
      <c r="C13" s="38">
        <v>13</v>
      </c>
      <c r="D13" s="38">
        <v>433</v>
      </c>
      <c r="E13" s="38">
        <v>488</v>
      </c>
    </row>
    <row r="17" spans="1:7" x14ac:dyDescent="0.3">
      <c r="A17" s="36" t="s">
        <v>611</v>
      </c>
      <c r="B17" s="36" t="s">
        <v>607</v>
      </c>
    </row>
    <row r="18" spans="1:7" x14ac:dyDescent="0.3">
      <c r="A18" s="36" t="s">
        <v>605</v>
      </c>
      <c r="B18" t="s">
        <v>577</v>
      </c>
      <c r="C18" t="s">
        <v>574</v>
      </c>
      <c r="D18" t="s">
        <v>575</v>
      </c>
      <c r="E18" t="s">
        <v>573</v>
      </c>
      <c r="F18" t="s">
        <v>576</v>
      </c>
      <c r="G18" t="s">
        <v>606</v>
      </c>
    </row>
    <row r="19" spans="1:7" x14ac:dyDescent="0.3">
      <c r="A19" s="37">
        <v>0</v>
      </c>
      <c r="B19" s="38"/>
      <c r="C19" s="38">
        <v>157</v>
      </c>
      <c r="D19" s="38"/>
      <c r="E19" s="38">
        <v>345</v>
      </c>
      <c r="F19" s="38">
        <v>570</v>
      </c>
      <c r="G19" s="38">
        <v>1072</v>
      </c>
    </row>
    <row r="20" spans="1:7" x14ac:dyDescent="0.3">
      <c r="A20" s="37" t="s">
        <v>27</v>
      </c>
      <c r="B20" s="38">
        <v>3352</v>
      </c>
      <c r="C20" s="38">
        <v>4695</v>
      </c>
      <c r="D20" s="38">
        <v>4634</v>
      </c>
      <c r="E20" s="38">
        <v>3929</v>
      </c>
      <c r="F20" s="38">
        <v>6110</v>
      </c>
      <c r="G20" s="38">
        <v>22720</v>
      </c>
    </row>
    <row r="21" spans="1:7" x14ac:dyDescent="0.3">
      <c r="A21" s="37" t="s">
        <v>19</v>
      </c>
      <c r="B21" s="38">
        <v>4805</v>
      </c>
      <c r="C21" s="38">
        <v>4572</v>
      </c>
      <c r="D21" s="38">
        <v>3983</v>
      </c>
      <c r="E21" s="38">
        <v>4228</v>
      </c>
      <c r="F21" s="38">
        <v>3472</v>
      </c>
      <c r="G21" s="38">
        <v>21060</v>
      </c>
    </row>
    <row r="22" spans="1:7" x14ac:dyDescent="0.3">
      <c r="A22" s="37" t="s">
        <v>15</v>
      </c>
      <c r="B22" s="38">
        <v>2970</v>
      </c>
      <c r="C22" s="38">
        <v>3619</v>
      </c>
      <c r="D22" s="38">
        <v>4204</v>
      </c>
      <c r="E22" s="38">
        <v>5927</v>
      </c>
      <c r="F22" s="38">
        <v>2593</v>
      </c>
      <c r="G22" s="38">
        <v>19313</v>
      </c>
    </row>
    <row r="23" spans="1:7" x14ac:dyDescent="0.3">
      <c r="A23" s="37" t="s">
        <v>22</v>
      </c>
      <c r="B23" s="38">
        <v>3917</v>
      </c>
      <c r="C23" s="38">
        <v>13639</v>
      </c>
      <c r="D23" s="38">
        <v>3402</v>
      </c>
      <c r="E23" s="38">
        <v>3288</v>
      </c>
      <c r="F23" s="38">
        <v>3523</v>
      </c>
      <c r="G23" s="38">
        <v>27769</v>
      </c>
    </row>
    <row r="24" spans="1:7" x14ac:dyDescent="0.3">
      <c r="A24" s="37" t="s">
        <v>38</v>
      </c>
      <c r="B24" s="38">
        <v>15060</v>
      </c>
      <c r="C24" s="38">
        <v>3296</v>
      </c>
      <c r="D24" s="38">
        <v>4292</v>
      </c>
      <c r="E24" s="38">
        <v>2394</v>
      </c>
      <c r="F24" s="38">
        <v>3576</v>
      </c>
      <c r="G24" s="38">
        <v>28618</v>
      </c>
    </row>
    <row r="25" spans="1:7" x14ac:dyDescent="0.3">
      <c r="A25" s="37" t="s">
        <v>606</v>
      </c>
      <c r="B25" s="38">
        <v>30104</v>
      </c>
      <c r="C25" s="38">
        <v>29978</v>
      </c>
      <c r="D25" s="38">
        <v>20515</v>
      </c>
      <c r="E25" s="38">
        <v>20111</v>
      </c>
      <c r="F25" s="38">
        <v>19844</v>
      </c>
      <c r="G25" s="38">
        <v>120552</v>
      </c>
    </row>
    <row r="28" spans="1:7" x14ac:dyDescent="0.3">
      <c r="A28" s="36" t="s">
        <v>610</v>
      </c>
      <c r="B28" s="36" t="s">
        <v>607</v>
      </c>
    </row>
    <row r="29" spans="1:7" x14ac:dyDescent="0.3">
      <c r="A29" s="36" t="s">
        <v>605</v>
      </c>
      <c r="B29" t="s">
        <v>608</v>
      </c>
      <c r="C29" t="s">
        <v>583</v>
      </c>
      <c r="D29" t="s">
        <v>609</v>
      </c>
      <c r="E29" t="s">
        <v>606</v>
      </c>
    </row>
    <row r="30" spans="1:7" x14ac:dyDescent="0.3">
      <c r="A30" s="37" t="s">
        <v>577</v>
      </c>
      <c r="B30" s="38">
        <v>8</v>
      </c>
      <c r="C30" s="38">
        <v>2</v>
      </c>
      <c r="D30" s="38">
        <v>93</v>
      </c>
      <c r="E30" s="38">
        <v>103</v>
      </c>
    </row>
    <row r="31" spans="1:7" x14ac:dyDescent="0.3">
      <c r="A31" s="37" t="s">
        <v>576</v>
      </c>
      <c r="B31" s="38">
        <v>11</v>
      </c>
      <c r="C31" s="38">
        <v>2</v>
      </c>
      <c r="D31" s="38">
        <v>85</v>
      </c>
      <c r="E31" s="38">
        <v>98</v>
      </c>
    </row>
    <row r="32" spans="1:7" x14ac:dyDescent="0.3">
      <c r="A32" s="37" t="s">
        <v>573</v>
      </c>
      <c r="B32" s="38">
        <v>7</v>
      </c>
      <c r="C32" s="38">
        <v>2</v>
      </c>
      <c r="D32" s="38">
        <v>88</v>
      </c>
      <c r="E32" s="38">
        <v>97</v>
      </c>
    </row>
    <row r="33" spans="1:5" x14ac:dyDescent="0.3">
      <c r="A33" s="37" t="s">
        <v>575</v>
      </c>
      <c r="B33" s="38">
        <v>8</v>
      </c>
      <c r="C33" s="38">
        <v>5</v>
      </c>
      <c r="D33" s="38">
        <v>83</v>
      </c>
      <c r="E33" s="38">
        <v>96</v>
      </c>
    </row>
    <row r="34" spans="1:5" x14ac:dyDescent="0.3">
      <c r="A34" s="37" t="s">
        <v>574</v>
      </c>
      <c r="B34" s="38">
        <v>8</v>
      </c>
      <c r="C34" s="38">
        <v>2</v>
      </c>
      <c r="D34" s="38">
        <v>84</v>
      </c>
      <c r="E34" s="38">
        <v>94</v>
      </c>
    </row>
    <row r="35" spans="1:5" x14ac:dyDescent="0.3">
      <c r="A35" s="37" t="s">
        <v>606</v>
      </c>
      <c r="B35" s="38">
        <v>42</v>
      </c>
      <c r="C35" s="38">
        <v>13</v>
      </c>
      <c r="D35" s="38">
        <v>433</v>
      </c>
      <c r="E35" s="38">
        <v>488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6DA59-001F-4293-80E1-AB9BE66B6540}">
  <sheetPr>
    <tabColor rgb="FF1F6B5A"/>
  </sheetPr>
  <dimension ref="A1:J16"/>
  <sheetViews>
    <sheetView showGridLines="0" tabSelected="1" topLeftCell="A3" zoomScaleNormal="100" workbookViewId="0">
      <selection activeCell="L16" sqref="L16"/>
    </sheetView>
  </sheetViews>
  <sheetFormatPr defaultRowHeight="14.4" x14ac:dyDescent="0.3"/>
  <cols>
    <col min="3" max="3" width="11.109375" bestFit="1" customWidth="1"/>
    <col min="4" max="4" width="38.6640625" customWidth="1"/>
    <col min="5" max="5" width="67.44140625" customWidth="1"/>
  </cols>
  <sheetData>
    <row r="1" spans="1:10" ht="25.8" x14ac:dyDescent="0.5">
      <c r="A1" s="41" t="s">
        <v>614</v>
      </c>
      <c r="B1" s="41"/>
      <c r="C1" s="41"/>
      <c r="D1" s="41"/>
      <c r="E1" s="41"/>
    </row>
    <row r="2" spans="1:10" x14ac:dyDescent="0.3">
      <c r="A2" s="42" t="s">
        <v>615</v>
      </c>
      <c r="B2" s="42"/>
      <c r="C2" s="42"/>
      <c r="D2" s="42"/>
      <c r="E2" s="42"/>
    </row>
    <row r="4" spans="1:10" ht="25.8" x14ac:dyDescent="0.5">
      <c r="B4" s="43"/>
      <c r="C4" s="43"/>
      <c r="D4" s="43"/>
    </row>
    <row r="5" spans="1:10" ht="21" customHeight="1" x14ac:dyDescent="0.4">
      <c r="C5" s="44"/>
    </row>
    <row r="6" spans="1:10" ht="18" x14ac:dyDescent="0.35">
      <c r="C6" s="45"/>
      <c r="D6" s="45"/>
    </row>
    <row r="8" spans="1:10" ht="18" x14ac:dyDescent="0.35">
      <c r="F8" s="46" t="s">
        <v>616</v>
      </c>
      <c r="G8" s="46"/>
      <c r="H8" s="46"/>
      <c r="I8" s="46" t="s">
        <v>589</v>
      </c>
      <c r="J8" s="40"/>
    </row>
    <row r="9" spans="1:10" ht="15.6" x14ac:dyDescent="0.3">
      <c r="F9" s="47">
        <f>KPI_CALC!A10</f>
        <v>0.88729508196721307</v>
      </c>
      <c r="G9" s="48"/>
      <c r="H9" s="40"/>
      <c r="I9" s="50">
        <f>KPI_CALC!B10</f>
        <v>0.99373516222632552</v>
      </c>
      <c r="J9" s="51"/>
    </row>
    <row r="10" spans="1:10" ht="15.6" x14ac:dyDescent="0.3">
      <c r="F10" s="48" t="str">
        <f>KPI_CALC!A11</f>
        <v>Needs Improvement</v>
      </c>
      <c r="G10" s="48"/>
      <c r="H10" s="40"/>
      <c r="I10" s="51" t="str">
        <f>KPI_CALC!B11</f>
        <v>Target Reached</v>
      </c>
      <c r="J10" s="51"/>
    </row>
    <row r="14" spans="1:10" ht="18" x14ac:dyDescent="0.35">
      <c r="F14" s="46" t="s">
        <v>617</v>
      </c>
      <c r="G14" s="52"/>
      <c r="H14" s="49"/>
      <c r="I14" s="46" t="s">
        <v>618</v>
      </c>
      <c r="J14" s="52"/>
    </row>
    <row r="15" spans="1:10" ht="15.6" x14ac:dyDescent="0.3">
      <c r="F15" s="53">
        <f>KPI_CALC!C10</f>
        <v>2.0309160635108907</v>
      </c>
      <c r="G15" s="54"/>
      <c r="I15" s="55">
        <f>KPI_CALC!D10</f>
        <v>179.72185387564281</v>
      </c>
      <c r="J15" s="40"/>
    </row>
    <row r="16" spans="1:10" ht="15.6" x14ac:dyDescent="0.3">
      <c r="F16" s="48" t="str">
        <f>KPI_CALC!C11</f>
        <v>Below Target</v>
      </c>
      <c r="G16" s="54"/>
      <c r="I16" s="51" t="str">
        <f>KPI_CALC!D11</f>
        <v>Above Target</v>
      </c>
      <c r="J16" s="40"/>
    </row>
  </sheetData>
  <mergeCells count="2">
    <mergeCell ref="A1:E1"/>
    <mergeCell ref="A2:E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01"/>
  <sheetViews>
    <sheetView workbookViewId="0">
      <pane ySplit="1" topLeftCell="A472" activePane="bottomLeft" state="frozen"/>
      <selection pane="bottomLeft" activeCell="D501" sqref="D501"/>
    </sheetView>
  </sheetViews>
  <sheetFormatPr defaultRowHeight="14.4" x14ac:dyDescent="0.3"/>
  <cols>
    <col min="1" max="1" width="12" customWidth="1"/>
    <col min="2" max="2" width="13" customWidth="1"/>
    <col min="3" max="3" width="15" customWidth="1"/>
    <col min="4" max="4" width="22" customWidth="1"/>
    <col min="5" max="5" width="16" customWidth="1"/>
    <col min="6" max="6" width="12" customWidth="1"/>
    <col min="7" max="10" width="14" customWidth="1"/>
    <col min="11" max="11" width="18" customWidth="1"/>
    <col min="12" max="12" width="22" customWidth="1"/>
  </cols>
  <sheetData>
    <row r="1" spans="1:12" ht="30" customHeight="1" x14ac:dyDescent="0.3">
      <c r="A1" s="1" t="s">
        <v>0</v>
      </c>
      <c r="B1" s="1" t="s">
        <v>1</v>
      </c>
      <c r="C1" s="1" t="s">
        <v>2</v>
      </c>
      <c r="D1" s="1" t="s">
        <v>3</v>
      </c>
      <c r="E1" s="1" t="s">
        <v>4</v>
      </c>
      <c r="F1" s="1" t="s">
        <v>5</v>
      </c>
      <c r="G1" s="1" t="s">
        <v>6</v>
      </c>
      <c r="H1" s="1" t="s">
        <v>7</v>
      </c>
      <c r="I1" s="1" t="s">
        <v>8</v>
      </c>
      <c r="J1" s="1" t="s">
        <v>9</v>
      </c>
      <c r="K1" s="1" t="s">
        <v>10</v>
      </c>
      <c r="L1" s="1" t="s">
        <v>11</v>
      </c>
    </row>
    <row r="2" spans="1:12" x14ac:dyDescent="0.3">
      <c r="A2" s="2" t="s">
        <v>12</v>
      </c>
      <c r="B2" s="3">
        <v>45052</v>
      </c>
      <c r="C2" s="3">
        <v>45053</v>
      </c>
      <c r="D2" s="2" t="s">
        <v>13</v>
      </c>
      <c r="E2" s="2" t="s">
        <v>14</v>
      </c>
      <c r="F2" s="2" t="s">
        <v>15</v>
      </c>
      <c r="G2" s="2">
        <v>366</v>
      </c>
      <c r="H2" s="2">
        <v>366</v>
      </c>
      <c r="I2" s="2">
        <v>13.53</v>
      </c>
      <c r="J2" s="2">
        <v>9.0399999999999991</v>
      </c>
      <c r="K2" s="2">
        <v>4</v>
      </c>
      <c r="L2" s="2">
        <v>3040.87</v>
      </c>
    </row>
    <row r="3" spans="1:12" x14ac:dyDescent="0.3">
      <c r="A3" s="4" t="s">
        <v>16</v>
      </c>
      <c r="B3" s="5">
        <v>45185</v>
      </c>
      <c r="C3" s="5">
        <v>45187</v>
      </c>
      <c r="D3" s="4" t="s">
        <v>17</v>
      </c>
      <c r="E3" s="4" t="s">
        <v>18</v>
      </c>
      <c r="F3" s="4" t="s">
        <v>19</v>
      </c>
      <c r="G3" s="4">
        <v>386</v>
      </c>
      <c r="H3" s="4">
        <v>386</v>
      </c>
      <c r="I3" s="4">
        <v>9.02</v>
      </c>
      <c r="J3" s="4">
        <v>5.36</v>
      </c>
      <c r="K3" s="4">
        <v>4</v>
      </c>
      <c r="L3" s="4">
        <v>2593.56</v>
      </c>
    </row>
    <row r="4" spans="1:12" x14ac:dyDescent="0.3">
      <c r="A4" s="2" t="s">
        <v>20</v>
      </c>
      <c r="B4" s="3">
        <v>45101</v>
      </c>
      <c r="C4" s="3">
        <v>45102</v>
      </c>
      <c r="D4" s="2" t="s">
        <v>21</v>
      </c>
      <c r="E4" s="2" t="s">
        <v>18</v>
      </c>
      <c r="F4" s="2" t="s">
        <v>22</v>
      </c>
      <c r="G4" s="2">
        <v>192</v>
      </c>
      <c r="H4" s="2">
        <v>192</v>
      </c>
      <c r="I4" s="2">
        <v>8.2200000000000006</v>
      </c>
      <c r="J4" s="2">
        <v>5.1100000000000003</v>
      </c>
      <c r="K4" s="2">
        <v>3</v>
      </c>
      <c r="L4" s="2">
        <v>1085.49</v>
      </c>
    </row>
    <row r="5" spans="1:12" x14ac:dyDescent="0.3">
      <c r="A5" s="4" t="s">
        <v>23</v>
      </c>
      <c r="B5" s="5">
        <v>45201</v>
      </c>
      <c r="C5" s="5">
        <v>45203</v>
      </c>
      <c r="D5" s="4" t="s">
        <v>24</v>
      </c>
      <c r="E5" s="4" t="s">
        <v>14</v>
      </c>
      <c r="F5" s="4" t="s">
        <v>22</v>
      </c>
      <c r="G5" s="4">
        <v>60</v>
      </c>
      <c r="H5" s="4">
        <v>60</v>
      </c>
      <c r="I5" s="4">
        <v>15.57</v>
      </c>
      <c r="J5" s="4">
        <v>10.49</v>
      </c>
      <c r="K5" s="4">
        <v>3</v>
      </c>
      <c r="L5" s="4">
        <v>891.87</v>
      </c>
    </row>
    <row r="6" spans="1:12" x14ac:dyDescent="0.3">
      <c r="A6" s="2" t="s">
        <v>25</v>
      </c>
      <c r="B6" s="3">
        <v>45265</v>
      </c>
      <c r="C6" s="3">
        <v>45268</v>
      </c>
      <c r="D6" s="2" t="s">
        <v>26</v>
      </c>
      <c r="E6" s="2" t="s">
        <v>14</v>
      </c>
      <c r="F6" s="2" t="s">
        <v>27</v>
      </c>
      <c r="G6" s="2">
        <v>60</v>
      </c>
      <c r="H6" s="2">
        <v>60</v>
      </c>
      <c r="I6" s="2">
        <v>15.84</v>
      </c>
      <c r="J6" s="2">
        <v>9.92</v>
      </c>
      <c r="K6" s="2">
        <v>5</v>
      </c>
      <c r="L6" s="2">
        <v>697.6</v>
      </c>
    </row>
    <row r="7" spans="1:12" x14ac:dyDescent="0.3">
      <c r="A7" s="4" t="s">
        <v>28</v>
      </c>
      <c r="B7" s="5">
        <v>45108</v>
      </c>
      <c r="C7" s="5">
        <v>45111</v>
      </c>
      <c r="D7" s="4" t="s">
        <v>29</v>
      </c>
      <c r="E7" s="4" t="s">
        <v>18</v>
      </c>
      <c r="F7" s="4" t="s">
        <v>15</v>
      </c>
      <c r="G7" s="4">
        <v>379</v>
      </c>
      <c r="H7" s="4">
        <v>379</v>
      </c>
      <c r="I7" s="4" t="s">
        <v>30</v>
      </c>
      <c r="J7" s="4">
        <v>6.39</v>
      </c>
      <c r="K7" s="4">
        <v>6</v>
      </c>
      <c r="L7" s="4">
        <v>2428.31</v>
      </c>
    </row>
    <row r="8" spans="1:12" x14ac:dyDescent="0.3">
      <c r="A8" s="2" t="s">
        <v>31</v>
      </c>
      <c r="B8" s="3">
        <v>45121</v>
      </c>
      <c r="C8" s="3">
        <v>45126</v>
      </c>
      <c r="D8" s="2" t="s">
        <v>26</v>
      </c>
      <c r="E8" s="2" t="s">
        <v>18</v>
      </c>
      <c r="F8" s="2" t="s">
        <v>22</v>
      </c>
      <c r="G8" s="2">
        <v>132</v>
      </c>
      <c r="H8" s="2">
        <v>132</v>
      </c>
      <c r="I8" s="2">
        <v>10.45</v>
      </c>
      <c r="J8" s="2">
        <v>7.37</v>
      </c>
      <c r="K8" s="2">
        <v>5</v>
      </c>
      <c r="L8" s="2">
        <v>1009.25</v>
      </c>
    </row>
    <row r="9" spans="1:12" x14ac:dyDescent="0.3">
      <c r="A9" s="4" t="s">
        <v>32</v>
      </c>
      <c r="B9" s="5">
        <v>45064</v>
      </c>
      <c r="C9" s="5">
        <v>45067</v>
      </c>
      <c r="D9" s="4" t="s">
        <v>33</v>
      </c>
      <c r="E9" s="4" t="s">
        <v>34</v>
      </c>
      <c r="F9" s="4" t="s">
        <v>22</v>
      </c>
      <c r="G9" s="4">
        <v>387</v>
      </c>
      <c r="H9" s="4">
        <v>387</v>
      </c>
      <c r="I9" s="4">
        <v>17.899999999999999</v>
      </c>
      <c r="J9" s="4">
        <v>11.26</v>
      </c>
      <c r="K9" s="4">
        <v>3</v>
      </c>
      <c r="L9" s="4">
        <v>6313.01</v>
      </c>
    </row>
    <row r="10" spans="1:12" x14ac:dyDescent="0.3">
      <c r="A10" s="2" t="s">
        <v>35</v>
      </c>
      <c r="B10" s="3">
        <v>44998</v>
      </c>
      <c r="C10" s="3">
        <v>45003</v>
      </c>
      <c r="D10" s="2" t="s">
        <v>36</v>
      </c>
      <c r="E10" s="2" t="s">
        <v>18</v>
      </c>
      <c r="F10" s="2" t="s">
        <v>15</v>
      </c>
      <c r="G10" s="2">
        <v>295</v>
      </c>
      <c r="H10" s="2">
        <v>295</v>
      </c>
      <c r="I10" s="2">
        <v>9.2100000000000009</v>
      </c>
      <c r="J10" s="2">
        <v>6.72</v>
      </c>
      <c r="K10" s="2">
        <v>7</v>
      </c>
      <c r="L10" s="2">
        <v>2259.2199999999998</v>
      </c>
    </row>
    <row r="11" spans="1:12" x14ac:dyDescent="0.3">
      <c r="A11" s="4" t="s">
        <v>37</v>
      </c>
      <c r="B11" s="5">
        <v>45179</v>
      </c>
      <c r="C11" s="5">
        <v>45180</v>
      </c>
      <c r="D11" s="4" t="s">
        <v>26</v>
      </c>
      <c r="E11" s="4" t="s">
        <v>18</v>
      </c>
      <c r="F11" s="4" t="s">
        <v>38</v>
      </c>
      <c r="G11" s="4">
        <v>76</v>
      </c>
      <c r="H11" s="4">
        <v>76</v>
      </c>
      <c r="I11" s="4">
        <v>7.17</v>
      </c>
      <c r="J11" s="4">
        <v>4.92</v>
      </c>
      <c r="K11" s="4">
        <v>5</v>
      </c>
      <c r="L11" s="4">
        <v>470.33</v>
      </c>
    </row>
    <row r="12" spans="1:12" x14ac:dyDescent="0.3">
      <c r="A12" s="2" t="s">
        <v>39</v>
      </c>
      <c r="B12" s="3">
        <v>45166</v>
      </c>
      <c r="C12" s="3">
        <v>45167</v>
      </c>
      <c r="D12" s="2" t="s">
        <v>40</v>
      </c>
      <c r="E12" s="2" t="s">
        <v>41</v>
      </c>
      <c r="F12" s="2" t="s">
        <v>38</v>
      </c>
      <c r="G12" s="2">
        <v>368</v>
      </c>
      <c r="H12" s="2">
        <v>368</v>
      </c>
      <c r="I12" s="2">
        <v>24.18</v>
      </c>
      <c r="J12" s="2">
        <v>15.9</v>
      </c>
      <c r="K12" s="2">
        <v>4</v>
      </c>
      <c r="L12" s="2">
        <v>6202.83</v>
      </c>
    </row>
    <row r="13" spans="1:12" x14ac:dyDescent="0.3">
      <c r="A13" s="4" t="s">
        <v>42</v>
      </c>
      <c r="B13" s="5">
        <v>45149</v>
      </c>
      <c r="C13" s="5">
        <v>45150</v>
      </c>
      <c r="D13" s="4" t="s">
        <v>29</v>
      </c>
      <c r="E13" s="4" t="s">
        <v>14</v>
      </c>
      <c r="F13" s="4" t="s">
        <v>15</v>
      </c>
      <c r="G13" s="4">
        <v>389</v>
      </c>
      <c r="H13" s="4">
        <v>389</v>
      </c>
      <c r="I13" s="4">
        <v>11.5</v>
      </c>
      <c r="J13" s="4">
        <v>7.48</v>
      </c>
      <c r="K13" s="4">
        <v>6</v>
      </c>
      <c r="L13" s="4">
        <v>2930.64</v>
      </c>
    </row>
    <row r="14" spans="1:12" x14ac:dyDescent="0.3">
      <c r="A14" s="2" t="s">
        <v>43</v>
      </c>
      <c r="B14" s="3">
        <v>45238</v>
      </c>
      <c r="C14" s="3">
        <v>45241</v>
      </c>
      <c r="D14" s="2" t="s">
        <v>13</v>
      </c>
      <c r="E14" s="2" t="s">
        <v>34</v>
      </c>
      <c r="F14" s="2" t="s">
        <v>38</v>
      </c>
      <c r="G14" s="2">
        <v>102</v>
      </c>
      <c r="H14" s="2">
        <v>102</v>
      </c>
      <c r="I14" s="2">
        <v>19.010000000000002</v>
      </c>
      <c r="J14" s="2">
        <v>12.47</v>
      </c>
      <c r="K14" s="2">
        <v>4</v>
      </c>
      <c r="L14" s="2">
        <v>1145.18</v>
      </c>
    </row>
    <row r="15" spans="1:12" x14ac:dyDescent="0.3">
      <c r="A15" s="4" t="s">
        <v>44</v>
      </c>
      <c r="B15" s="5">
        <v>44984</v>
      </c>
      <c r="C15" s="5">
        <v>44987</v>
      </c>
      <c r="D15" s="4" t="s">
        <v>29</v>
      </c>
      <c r="E15" s="4" t="s">
        <v>41</v>
      </c>
      <c r="F15" s="4" t="s">
        <v>27</v>
      </c>
      <c r="G15" s="4">
        <v>142</v>
      </c>
      <c r="H15" s="4">
        <v>142</v>
      </c>
      <c r="I15" s="4">
        <v>26.54</v>
      </c>
      <c r="J15" s="4">
        <v>19.62</v>
      </c>
      <c r="K15" s="4">
        <v>6</v>
      </c>
      <c r="L15" s="4">
        <v>2650.62</v>
      </c>
    </row>
    <row r="16" spans="1:12" x14ac:dyDescent="0.3">
      <c r="A16" s="2" t="s">
        <v>45</v>
      </c>
      <c r="B16" s="3">
        <v>44991</v>
      </c>
      <c r="C16" s="3">
        <v>44995</v>
      </c>
      <c r="D16" s="2" t="s">
        <v>36</v>
      </c>
      <c r="E16" s="2" t="s">
        <v>14</v>
      </c>
      <c r="F16" s="2" t="s">
        <v>38</v>
      </c>
      <c r="G16" s="2">
        <v>301</v>
      </c>
      <c r="H16" s="2">
        <v>301</v>
      </c>
      <c r="I16" s="2">
        <v>13.4</v>
      </c>
      <c r="J16" s="2">
        <v>9</v>
      </c>
      <c r="K16" s="2">
        <v>7</v>
      </c>
      <c r="L16" s="2">
        <v>4005.58</v>
      </c>
    </row>
    <row r="17" spans="1:12" x14ac:dyDescent="0.3">
      <c r="A17" s="4" t="s">
        <v>46</v>
      </c>
      <c r="B17" s="5">
        <v>45270</v>
      </c>
      <c r="C17" s="5">
        <v>45274</v>
      </c>
      <c r="D17" s="4" t="s">
        <v>26</v>
      </c>
      <c r="E17" s="4" t="s">
        <v>34</v>
      </c>
      <c r="F17" s="4" t="s">
        <v>22</v>
      </c>
      <c r="G17" s="4">
        <v>284</v>
      </c>
      <c r="H17" s="4">
        <v>284</v>
      </c>
      <c r="I17" s="4">
        <v>14.23</v>
      </c>
      <c r="J17" s="4">
        <v>8.01</v>
      </c>
      <c r="K17" s="4">
        <v>5</v>
      </c>
      <c r="L17" s="4">
        <v>2076.0700000000002</v>
      </c>
    </row>
    <row r="18" spans="1:12" x14ac:dyDescent="0.3">
      <c r="A18" s="2" t="s">
        <v>47</v>
      </c>
      <c r="B18" s="3">
        <v>44930</v>
      </c>
      <c r="C18" s="3">
        <v>44931</v>
      </c>
      <c r="D18" s="2" t="s">
        <v>26</v>
      </c>
      <c r="E18" s="2" t="s">
        <v>48</v>
      </c>
      <c r="F18" s="2" t="s">
        <v>19</v>
      </c>
      <c r="G18" s="2">
        <v>137</v>
      </c>
      <c r="H18" s="2">
        <v>137</v>
      </c>
      <c r="I18" s="2">
        <v>4.91</v>
      </c>
      <c r="J18" s="2">
        <v>3.02</v>
      </c>
      <c r="K18" s="2">
        <v>5</v>
      </c>
      <c r="L18" s="2">
        <v>500</v>
      </c>
    </row>
    <row r="19" spans="1:12" x14ac:dyDescent="0.3">
      <c r="A19" s="4" t="s">
        <v>49</v>
      </c>
      <c r="B19" s="5">
        <v>45203</v>
      </c>
      <c r="C19" s="5">
        <v>45206</v>
      </c>
      <c r="D19" s="4" t="s">
        <v>50</v>
      </c>
      <c r="E19" s="4" t="s">
        <v>41</v>
      </c>
      <c r="F19" s="4" t="s">
        <v>19</v>
      </c>
      <c r="G19" s="4">
        <v>315</v>
      </c>
      <c r="H19" s="4">
        <v>315</v>
      </c>
      <c r="I19" s="4">
        <v>25.42</v>
      </c>
      <c r="J19" s="4">
        <v>18.09</v>
      </c>
      <c r="K19" s="4">
        <v>3</v>
      </c>
      <c r="L19" s="4">
        <v>5779.53</v>
      </c>
    </row>
    <row r="20" spans="1:12" x14ac:dyDescent="0.3">
      <c r="A20" s="2" t="s">
        <v>51</v>
      </c>
      <c r="B20" s="3">
        <v>45143</v>
      </c>
      <c r="C20" s="3">
        <v>45144</v>
      </c>
      <c r="D20" s="2" t="s">
        <v>52</v>
      </c>
      <c r="E20" s="2" t="s">
        <v>41</v>
      </c>
      <c r="F20" s="2" t="s">
        <v>15</v>
      </c>
      <c r="G20" s="2">
        <v>364</v>
      </c>
      <c r="H20" s="2">
        <v>364</v>
      </c>
      <c r="I20" s="2">
        <v>23.75</v>
      </c>
      <c r="J20" s="2">
        <v>13.35</v>
      </c>
      <c r="K20" s="2">
        <v>4</v>
      </c>
      <c r="L20" s="2">
        <v>6496.67</v>
      </c>
    </row>
    <row r="21" spans="1:12" x14ac:dyDescent="0.3">
      <c r="A21" s="4" t="s">
        <v>53</v>
      </c>
      <c r="B21" s="5">
        <v>45024</v>
      </c>
      <c r="C21" s="5">
        <v>45026</v>
      </c>
      <c r="D21" s="4" t="s">
        <v>13</v>
      </c>
      <c r="E21" s="4" t="s">
        <v>18</v>
      </c>
      <c r="F21" s="4" t="s">
        <v>19</v>
      </c>
      <c r="G21" s="4">
        <v>236</v>
      </c>
      <c r="H21" s="4">
        <v>236</v>
      </c>
      <c r="I21" s="4">
        <v>8.6199999999999992</v>
      </c>
      <c r="J21" s="4">
        <v>6.25</v>
      </c>
      <c r="K21" s="4">
        <v>4</v>
      </c>
      <c r="L21" s="4">
        <v>1394.22</v>
      </c>
    </row>
    <row r="22" spans="1:12" x14ac:dyDescent="0.3">
      <c r="A22" s="2" t="s">
        <v>54</v>
      </c>
      <c r="B22" s="3">
        <v>44934</v>
      </c>
      <c r="C22" s="3">
        <v>44940</v>
      </c>
      <c r="D22" s="2" t="s">
        <v>13</v>
      </c>
      <c r="E22" s="2" t="s">
        <v>14</v>
      </c>
      <c r="F22" s="2" t="s">
        <v>38</v>
      </c>
      <c r="G22" s="2">
        <v>105</v>
      </c>
      <c r="H22" s="2">
        <v>105</v>
      </c>
      <c r="I22" s="2">
        <v>13.07</v>
      </c>
      <c r="J22" s="2">
        <v>9.4499999999999993</v>
      </c>
      <c r="K22" s="2">
        <v>4</v>
      </c>
      <c r="L22" s="2">
        <v>1430.29</v>
      </c>
    </row>
    <row r="23" spans="1:12" x14ac:dyDescent="0.3">
      <c r="A23" s="4" t="s">
        <v>55</v>
      </c>
      <c r="B23" s="5">
        <v>45126</v>
      </c>
      <c r="C23" s="5">
        <v>45128</v>
      </c>
      <c r="D23" s="4" t="s">
        <v>56</v>
      </c>
      <c r="E23" s="4" t="s">
        <v>41</v>
      </c>
      <c r="F23" s="4" t="s">
        <v>27</v>
      </c>
      <c r="G23" s="4">
        <v>166</v>
      </c>
      <c r="H23" s="4">
        <v>166</v>
      </c>
      <c r="I23" s="4">
        <v>27.49</v>
      </c>
      <c r="J23" s="4">
        <v>20.59</v>
      </c>
      <c r="K23" s="4">
        <v>2</v>
      </c>
      <c r="L23" s="4">
        <v>4215.8999999999996</v>
      </c>
    </row>
    <row r="24" spans="1:12" x14ac:dyDescent="0.3">
      <c r="A24" s="2" t="s">
        <v>57</v>
      </c>
      <c r="B24" s="3">
        <v>45078</v>
      </c>
      <c r="C24" s="3">
        <v>45079</v>
      </c>
      <c r="D24" s="2" t="s">
        <v>36</v>
      </c>
      <c r="E24" s="2" t="s">
        <v>18</v>
      </c>
      <c r="F24" s="2" t="s">
        <v>19</v>
      </c>
      <c r="G24" s="2">
        <v>316</v>
      </c>
      <c r="H24" s="2">
        <v>316</v>
      </c>
      <c r="I24" s="2">
        <v>6.69</v>
      </c>
      <c r="J24" s="2">
        <v>4.0999999999999996</v>
      </c>
      <c r="K24" s="2">
        <v>7</v>
      </c>
      <c r="L24" s="2"/>
    </row>
    <row r="25" spans="1:12" x14ac:dyDescent="0.3">
      <c r="A25" s="4" t="s">
        <v>58</v>
      </c>
      <c r="B25" s="5">
        <v>45007</v>
      </c>
      <c r="C25" s="5">
        <v>45012</v>
      </c>
      <c r="D25" s="4" t="s">
        <v>36</v>
      </c>
      <c r="E25" s="4" t="s">
        <v>48</v>
      </c>
      <c r="F25" s="4" t="s">
        <v>38</v>
      </c>
      <c r="G25" s="4">
        <v>61</v>
      </c>
      <c r="H25" s="4">
        <v>61</v>
      </c>
      <c r="I25" s="4" t="s">
        <v>59</v>
      </c>
      <c r="J25" s="4">
        <v>2.85</v>
      </c>
      <c r="K25" s="4">
        <v>7</v>
      </c>
      <c r="L25" s="4">
        <v>246.36</v>
      </c>
    </row>
    <row r="26" spans="1:12" x14ac:dyDescent="0.3">
      <c r="A26" s="2" t="s">
        <v>60</v>
      </c>
      <c r="B26" s="3">
        <v>45053</v>
      </c>
      <c r="C26" s="3">
        <v>45054</v>
      </c>
      <c r="D26" s="2" t="s">
        <v>40</v>
      </c>
      <c r="E26" s="2" t="s">
        <v>14</v>
      </c>
      <c r="F26" s="2" t="s">
        <v>38</v>
      </c>
      <c r="G26" s="2">
        <v>337</v>
      </c>
      <c r="H26" s="2">
        <v>337</v>
      </c>
      <c r="I26" s="2">
        <v>14.33</v>
      </c>
      <c r="J26" s="2">
        <v>9.5</v>
      </c>
      <c r="K26" s="2">
        <v>4</v>
      </c>
      <c r="L26" s="2">
        <v>3489.06</v>
      </c>
    </row>
    <row r="27" spans="1:12" x14ac:dyDescent="0.3">
      <c r="A27" s="4" t="s">
        <v>61</v>
      </c>
      <c r="B27" s="5">
        <v>45049</v>
      </c>
      <c r="C27" s="5">
        <v>45050</v>
      </c>
      <c r="D27" s="4" t="s">
        <v>62</v>
      </c>
      <c r="E27" s="4" t="s">
        <v>18</v>
      </c>
      <c r="F27" s="4" t="s">
        <v>15</v>
      </c>
      <c r="G27" s="4">
        <v>363</v>
      </c>
      <c r="H27" s="4">
        <v>363</v>
      </c>
      <c r="I27" s="4">
        <v>8.59</v>
      </c>
      <c r="J27" s="4">
        <v>6.32</v>
      </c>
      <c r="K27" s="4">
        <v>3</v>
      </c>
      <c r="L27" s="4">
        <v>3352.78</v>
      </c>
    </row>
    <row r="28" spans="1:12" x14ac:dyDescent="0.3">
      <c r="A28" s="2" t="s">
        <v>63</v>
      </c>
      <c r="B28" s="3">
        <v>45215</v>
      </c>
      <c r="C28" s="3">
        <v>45219</v>
      </c>
      <c r="D28" s="2" t="s">
        <v>21</v>
      </c>
      <c r="E28" s="2" t="s">
        <v>41</v>
      </c>
      <c r="F28" s="2" t="s">
        <v>38</v>
      </c>
      <c r="G28" s="2">
        <v>295</v>
      </c>
      <c r="H28" s="2">
        <v>295</v>
      </c>
      <c r="I28" s="2">
        <v>19.18</v>
      </c>
      <c r="J28" s="2">
        <v>14.13</v>
      </c>
      <c r="K28" s="2">
        <v>3</v>
      </c>
      <c r="L28" s="2">
        <v>5954.57</v>
      </c>
    </row>
    <row r="29" spans="1:12" x14ac:dyDescent="0.3">
      <c r="A29" s="4" t="s">
        <v>64</v>
      </c>
      <c r="B29" s="5">
        <v>45007</v>
      </c>
      <c r="C29" s="5">
        <v>45012</v>
      </c>
      <c r="D29" s="4" t="s">
        <v>26</v>
      </c>
      <c r="E29" s="4" t="s">
        <v>34</v>
      </c>
      <c r="F29" s="4" t="s">
        <v>15</v>
      </c>
      <c r="G29" s="4">
        <v>380</v>
      </c>
      <c r="H29" s="4">
        <v>380</v>
      </c>
      <c r="I29" s="4">
        <v>20.85</v>
      </c>
      <c r="J29" s="4">
        <v>14.83</v>
      </c>
      <c r="K29" s="4">
        <v>5</v>
      </c>
      <c r="L29" s="4">
        <v>6860.34</v>
      </c>
    </row>
    <row r="30" spans="1:12" x14ac:dyDescent="0.3">
      <c r="A30" s="2" t="s">
        <v>65</v>
      </c>
      <c r="B30" s="3">
        <v>45062</v>
      </c>
      <c r="C30" s="3">
        <v>45063</v>
      </c>
      <c r="D30" s="2" t="s">
        <v>62</v>
      </c>
      <c r="E30" s="2" t="s">
        <v>14</v>
      </c>
      <c r="F30" s="2" t="s">
        <v>19</v>
      </c>
      <c r="G30" s="2">
        <v>400</v>
      </c>
      <c r="H30" s="2">
        <v>400</v>
      </c>
      <c r="I30" s="2">
        <v>11.56</v>
      </c>
      <c r="J30" s="2">
        <v>7.76</v>
      </c>
      <c r="K30" s="2">
        <v>3</v>
      </c>
      <c r="L30" s="2">
        <v>4130.08</v>
      </c>
    </row>
    <row r="31" spans="1:12" x14ac:dyDescent="0.3">
      <c r="A31" s="4" t="s">
        <v>66</v>
      </c>
      <c r="B31" s="5">
        <v>45177</v>
      </c>
      <c r="C31" s="5">
        <v>45178</v>
      </c>
      <c r="D31" s="4" t="s">
        <v>26</v>
      </c>
      <c r="E31" s="4" t="s">
        <v>34</v>
      </c>
      <c r="F31" s="4" t="s">
        <v>38</v>
      </c>
      <c r="G31" s="4">
        <v>67</v>
      </c>
      <c r="H31" s="4">
        <v>67</v>
      </c>
      <c r="I31" s="4">
        <v>19.46</v>
      </c>
      <c r="J31" s="4">
        <v>10.87</v>
      </c>
      <c r="K31" s="4">
        <v>5</v>
      </c>
      <c r="L31" s="4">
        <v>801.22</v>
      </c>
    </row>
    <row r="32" spans="1:12" x14ac:dyDescent="0.3">
      <c r="A32" s="2" t="s">
        <v>67</v>
      </c>
      <c r="B32" s="3">
        <v>45153</v>
      </c>
      <c r="C32" s="3">
        <v>45155</v>
      </c>
      <c r="D32" s="2" t="s">
        <v>56</v>
      </c>
      <c r="E32" s="2" t="s">
        <v>34</v>
      </c>
      <c r="F32" s="2" t="s">
        <v>19</v>
      </c>
      <c r="G32" s="2">
        <v>307</v>
      </c>
      <c r="H32" s="2">
        <v>223</v>
      </c>
      <c r="I32" s="2">
        <v>20.51</v>
      </c>
      <c r="J32" s="2">
        <v>14.12</v>
      </c>
      <c r="K32" s="2">
        <v>2</v>
      </c>
      <c r="L32" s="2">
        <v>4289.03</v>
      </c>
    </row>
    <row r="33" spans="1:12" x14ac:dyDescent="0.3">
      <c r="A33" s="4" t="s">
        <v>68</v>
      </c>
      <c r="B33" s="5">
        <v>45209</v>
      </c>
      <c r="C33" s="5">
        <v>45210</v>
      </c>
      <c r="D33" s="4" t="s">
        <v>33</v>
      </c>
      <c r="E33" s="4" t="s">
        <v>34</v>
      </c>
      <c r="F33" s="4" t="s">
        <v>38</v>
      </c>
      <c r="G33" s="4">
        <v>41</v>
      </c>
      <c r="H33" s="4">
        <v>41</v>
      </c>
      <c r="I33" s="4">
        <v>20.09</v>
      </c>
      <c r="J33" s="4">
        <v>14.25</v>
      </c>
      <c r="K33" s="4">
        <v>3</v>
      </c>
      <c r="L33" s="4">
        <v>827.54</v>
      </c>
    </row>
    <row r="34" spans="1:12" x14ac:dyDescent="0.3">
      <c r="A34" s="2" t="s">
        <v>69</v>
      </c>
      <c r="B34" s="3">
        <v>45268</v>
      </c>
      <c r="C34" s="3">
        <v>45273</v>
      </c>
      <c r="D34" s="2" t="s">
        <v>29</v>
      </c>
      <c r="E34" s="2" t="s">
        <v>18</v>
      </c>
      <c r="F34" s="2" t="s">
        <v>19</v>
      </c>
      <c r="G34" s="2">
        <v>228</v>
      </c>
      <c r="H34" s="2">
        <v>228</v>
      </c>
      <c r="I34" s="2">
        <v>10</v>
      </c>
      <c r="J34" s="2">
        <v>7.35</v>
      </c>
      <c r="K34" s="2">
        <v>6</v>
      </c>
      <c r="L34" s="2">
        <v>1746.25</v>
      </c>
    </row>
    <row r="35" spans="1:12" x14ac:dyDescent="0.3">
      <c r="A35" s="4" t="s">
        <v>70</v>
      </c>
      <c r="B35" s="5">
        <v>44939</v>
      </c>
      <c r="C35" s="5">
        <v>44941</v>
      </c>
      <c r="D35" s="4" t="s">
        <v>56</v>
      </c>
      <c r="E35" s="4" t="s">
        <v>18</v>
      </c>
      <c r="F35" s="4" t="s">
        <v>22</v>
      </c>
      <c r="G35" s="4">
        <v>230</v>
      </c>
      <c r="H35" s="4">
        <v>230</v>
      </c>
      <c r="I35" s="4">
        <v>10.55</v>
      </c>
      <c r="J35" s="4">
        <v>7.51</v>
      </c>
      <c r="K35" s="4">
        <v>2</v>
      </c>
      <c r="L35" s="4">
        <v>1831.08</v>
      </c>
    </row>
    <row r="36" spans="1:12" x14ac:dyDescent="0.3">
      <c r="A36" s="2" t="s">
        <v>71</v>
      </c>
      <c r="B36" s="2" t="s">
        <v>72</v>
      </c>
      <c r="C36" s="3">
        <v>45171</v>
      </c>
      <c r="D36" s="2" t="s">
        <v>13</v>
      </c>
      <c r="E36" s="2" t="s">
        <v>41</v>
      </c>
      <c r="F36" s="2" t="s">
        <v>27</v>
      </c>
      <c r="G36" s="2">
        <v>199</v>
      </c>
      <c r="H36" s="2">
        <v>199</v>
      </c>
      <c r="I36" s="2">
        <v>25.54</v>
      </c>
      <c r="J36" s="2">
        <v>15.21</v>
      </c>
      <c r="K36" s="2">
        <v>4</v>
      </c>
      <c r="L36" s="2">
        <v>2767.09</v>
      </c>
    </row>
    <row r="37" spans="1:12" x14ac:dyDescent="0.3">
      <c r="A37" s="4" t="s">
        <v>73</v>
      </c>
      <c r="B37" s="5">
        <v>45069</v>
      </c>
      <c r="C37" s="5">
        <v>45077</v>
      </c>
      <c r="D37" s="4" t="s">
        <v>26</v>
      </c>
      <c r="E37" s="4" t="s">
        <v>41</v>
      </c>
      <c r="F37" s="4" t="s">
        <v>15</v>
      </c>
      <c r="G37" s="4">
        <v>199</v>
      </c>
      <c r="H37" s="4">
        <v>199</v>
      </c>
      <c r="I37" s="4">
        <v>20.8</v>
      </c>
      <c r="J37" s="4">
        <v>15.52</v>
      </c>
      <c r="K37" s="4">
        <v>5</v>
      </c>
      <c r="L37" s="4">
        <v>3773.29</v>
      </c>
    </row>
    <row r="38" spans="1:12" x14ac:dyDescent="0.3">
      <c r="A38" s="2" t="s">
        <v>74</v>
      </c>
      <c r="B38" s="3">
        <v>45018</v>
      </c>
      <c r="C38" s="3">
        <v>45020</v>
      </c>
      <c r="D38" s="2" t="s">
        <v>33</v>
      </c>
      <c r="E38" s="2" t="s">
        <v>14</v>
      </c>
      <c r="F38" s="2" t="s">
        <v>15</v>
      </c>
      <c r="G38" s="2">
        <v>39</v>
      </c>
      <c r="H38" s="2">
        <v>39</v>
      </c>
      <c r="I38" s="2">
        <v>12.73</v>
      </c>
      <c r="J38" s="2">
        <v>8.86</v>
      </c>
      <c r="K38" s="2">
        <v>3</v>
      </c>
      <c r="L38" s="2">
        <v>376.02</v>
      </c>
    </row>
    <row r="39" spans="1:12" x14ac:dyDescent="0.3">
      <c r="A39" s="4" t="s">
        <v>75</v>
      </c>
      <c r="B39" s="5">
        <v>45024</v>
      </c>
      <c r="C39" s="5">
        <v>45028</v>
      </c>
      <c r="D39" s="4" t="s">
        <v>13</v>
      </c>
      <c r="E39" s="4" t="s">
        <v>41</v>
      </c>
      <c r="F39" s="4" t="s">
        <v>38</v>
      </c>
      <c r="G39" s="4">
        <v>20</v>
      </c>
      <c r="H39" s="4">
        <v>20</v>
      </c>
      <c r="I39" s="4">
        <v>25.68</v>
      </c>
      <c r="J39" s="4">
        <v>17.649999999999999</v>
      </c>
      <c r="K39" s="4">
        <v>4</v>
      </c>
      <c r="L39" s="4">
        <v>516.85</v>
      </c>
    </row>
    <row r="40" spans="1:12" x14ac:dyDescent="0.3">
      <c r="A40" s="2" t="s">
        <v>76</v>
      </c>
      <c r="B40" s="3">
        <v>44962</v>
      </c>
      <c r="C40" s="3">
        <v>44970</v>
      </c>
      <c r="D40" s="2" t="s">
        <v>26</v>
      </c>
      <c r="E40" s="2" t="s">
        <v>34</v>
      </c>
      <c r="F40" s="2" t="s">
        <v>22</v>
      </c>
      <c r="G40" s="2">
        <v>339</v>
      </c>
      <c r="H40" s="2">
        <v>339</v>
      </c>
      <c r="I40" s="2">
        <v>19.63</v>
      </c>
      <c r="J40" s="2">
        <v>13.62</v>
      </c>
      <c r="K40" s="2">
        <v>5</v>
      </c>
      <c r="L40" s="2">
        <v>4987.45</v>
      </c>
    </row>
    <row r="41" spans="1:12" x14ac:dyDescent="0.3">
      <c r="A41" s="4" t="s">
        <v>77</v>
      </c>
      <c r="B41" s="5">
        <v>45133</v>
      </c>
      <c r="C41" s="5">
        <v>45136</v>
      </c>
      <c r="D41" s="4" t="s">
        <v>50</v>
      </c>
      <c r="E41" s="4" t="s">
        <v>41</v>
      </c>
      <c r="F41" s="4" t="s">
        <v>15</v>
      </c>
      <c r="G41" s="4">
        <v>85</v>
      </c>
      <c r="H41" s="4">
        <v>85</v>
      </c>
      <c r="I41" s="4">
        <v>23.98</v>
      </c>
      <c r="J41" s="4">
        <v>15.01</v>
      </c>
      <c r="K41" s="4">
        <v>3</v>
      </c>
      <c r="L41" s="4">
        <v>1720.97</v>
      </c>
    </row>
    <row r="42" spans="1:12" x14ac:dyDescent="0.3">
      <c r="A42" s="2" t="s">
        <v>78</v>
      </c>
      <c r="B42" s="3">
        <v>45081</v>
      </c>
      <c r="C42" s="3">
        <v>45082</v>
      </c>
      <c r="D42" s="2" t="s">
        <v>79</v>
      </c>
      <c r="E42" s="2" t="s">
        <v>48</v>
      </c>
      <c r="F42" s="2" t="s">
        <v>38</v>
      </c>
      <c r="G42" s="2">
        <v>175</v>
      </c>
      <c r="H42" s="2">
        <v>175</v>
      </c>
      <c r="I42" s="2">
        <v>6.35</v>
      </c>
      <c r="J42" s="2">
        <v>4.2300000000000004</v>
      </c>
      <c r="K42" s="2">
        <v>2</v>
      </c>
      <c r="L42" s="2">
        <v>957.01</v>
      </c>
    </row>
    <row r="43" spans="1:12" x14ac:dyDescent="0.3">
      <c r="A43" s="4" t="s">
        <v>80</v>
      </c>
      <c r="B43" s="5">
        <v>45272</v>
      </c>
      <c r="C43" s="5">
        <v>45276</v>
      </c>
      <c r="D43" s="4" t="s">
        <v>36</v>
      </c>
      <c r="E43" s="4" t="s">
        <v>41</v>
      </c>
      <c r="F43" s="4" t="s">
        <v>22</v>
      </c>
      <c r="G43" s="4">
        <v>396</v>
      </c>
      <c r="H43" s="4">
        <v>396</v>
      </c>
      <c r="I43" s="4">
        <v>17.02</v>
      </c>
      <c r="J43" s="4">
        <v>11.12</v>
      </c>
      <c r="K43" s="4">
        <v>7</v>
      </c>
      <c r="L43" s="4">
        <v>5635.47</v>
      </c>
    </row>
    <row r="44" spans="1:12" x14ac:dyDescent="0.3">
      <c r="A44" s="2" t="s">
        <v>81</v>
      </c>
      <c r="B44" s="3">
        <v>45271</v>
      </c>
      <c r="C44" s="3">
        <v>45273</v>
      </c>
      <c r="D44" s="2" t="s">
        <v>29</v>
      </c>
      <c r="E44" s="2" t="s">
        <v>14</v>
      </c>
      <c r="F44" s="2" t="s">
        <v>19</v>
      </c>
      <c r="G44" s="2">
        <v>95</v>
      </c>
      <c r="H44" s="2">
        <v>73</v>
      </c>
      <c r="I44" s="2">
        <v>16.68</v>
      </c>
      <c r="J44" s="2">
        <v>11.21</v>
      </c>
      <c r="K44" s="2">
        <v>6</v>
      </c>
      <c r="L44" s="2">
        <v>1449.5</v>
      </c>
    </row>
    <row r="45" spans="1:12" x14ac:dyDescent="0.3">
      <c r="A45" s="4" t="s">
        <v>82</v>
      </c>
      <c r="B45" s="5">
        <v>45026</v>
      </c>
      <c r="C45" s="5">
        <v>45030</v>
      </c>
      <c r="D45" s="4" t="s">
        <v>36</v>
      </c>
      <c r="E45" s="4" t="s">
        <v>41</v>
      </c>
      <c r="F45" s="4" t="s">
        <v>38</v>
      </c>
      <c r="G45" s="4">
        <v>273</v>
      </c>
      <c r="H45" s="4">
        <v>273</v>
      </c>
      <c r="I45" s="4">
        <v>17.77</v>
      </c>
      <c r="J45" s="4">
        <v>12.22</v>
      </c>
      <c r="K45" s="4">
        <v>7</v>
      </c>
      <c r="L45" s="4"/>
    </row>
    <row r="46" spans="1:12" x14ac:dyDescent="0.3">
      <c r="A46" s="2" t="s">
        <v>83</v>
      </c>
      <c r="B46" s="3">
        <v>45017</v>
      </c>
      <c r="C46" s="3">
        <v>45021</v>
      </c>
      <c r="D46" s="2" t="s">
        <v>17</v>
      </c>
      <c r="E46" s="2" t="s">
        <v>41</v>
      </c>
      <c r="F46" s="2" t="s">
        <v>19</v>
      </c>
      <c r="G46" s="2">
        <v>45</v>
      </c>
      <c r="H46" s="2">
        <v>45</v>
      </c>
      <c r="I46" s="2">
        <v>27.01</v>
      </c>
      <c r="J46" s="2">
        <v>15.51</v>
      </c>
      <c r="K46" s="2">
        <v>4</v>
      </c>
      <c r="L46" s="2">
        <v>683.99</v>
      </c>
    </row>
    <row r="47" spans="1:12" x14ac:dyDescent="0.3">
      <c r="A47" s="4" t="s">
        <v>84</v>
      </c>
      <c r="B47" s="5">
        <v>45231</v>
      </c>
      <c r="C47" s="5">
        <v>45238</v>
      </c>
      <c r="D47" s="4" t="s">
        <v>36</v>
      </c>
      <c r="E47" s="4" t="s">
        <v>48</v>
      </c>
      <c r="F47" s="4" t="s">
        <v>38</v>
      </c>
      <c r="G47" s="4">
        <v>246</v>
      </c>
      <c r="H47" s="4">
        <v>246</v>
      </c>
      <c r="I47" s="4">
        <v>7.39</v>
      </c>
      <c r="J47" s="4">
        <v>4.8099999999999996</v>
      </c>
      <c r="K47" s="4">
        <v>7</v>
      </c>
      <c r="L47" s="4">
        <v>1654.6</v>
      </c>
    </row>
    <row r="48" spans="1:12" x14ac:dyDescent="0.3">
      <c r="A48" s="2" t="s">
        <v>85</v>
      </c>
      <c r="B48" s="3">
        <v>45157</v>
      </c>
      <c r="C48" s="3">
        <v>45159</v>
      </c>
      <c r="D48" s="2" t="s">
        <v>36</v>
      </c>
      <c r="E48" s="2" t="s">
        <v>18</v>
      </c>
      <c r="F48" s="2" t="s">
        <v>22</v>
      </c>
      <c r="G48" s="2">
        <v>9999</v>
      </c>
      <c r="H48" s="2">
        <v>9999</v>
      </c>
      <c r="I48" s="2">
        <v>10.130000000000001</v>
      </c>
      <c r="J48" s="2">
        <v>6.55</v>
      </c>
      <c r="K48" s="2">
        <v>7</v>
      </c>
      <c r="L48" s="2">
        <v>2364.9899999999998</v>
      </c>
    </row>
    <row r="49" spans="1:12" x14ac:dyDescent="0.3">
      <c r="A49" s="4" t="s">
        <v>86</v>
      </c>
      <c r="B49" s="5">
        <v>45047</v>
      </c>
      <c r="C49" s="5">
        <v>45050</v>
      </c>
      <c r="D49" s="4" t="s">
        <v>36</v>
      </c>
      <c r="E49" s="4" t="s">
        <v>14</v>
      </c>
      <c r="F49" s="4" t="s">
        <v>15</v>
      </c>
      <c r="G49" s="4">
        <v>296</v>
      </c>
      <c r="H49" s="4">
        <v>296</v>
      </c>
      <c r="I49" s="4">
        <v>10.69</v>
      </c>
      <c r="J49" s="4">
        <v>6.7</v>
      </c>
      <c r="K49" s="4">
        <v>7</v>
      </c>
      <c r="L49" s="4">
        <v>1966.71</v>
      </c>
    </row>
    <row r="50" spans="1:12" x14ac:dyDescent="0.3">
      <c r="A50" s="2" t="s">
        <v>87</v>
      </c>
      <c r="B50" s="3">
        <v>45135</v>
      </c>
      <c r="C50" s="3">
        <v>45139</v>
      </c>
      <c r="D50" s="2" t="s">
        <v>26</v>
      </c>
      <c r="E50" s="2" t="s">
        <v>14</v>
      </c>
      <c r="F50" s="2" t="s">
        <v>22</v>
      </c>
      <c r="G50" s="2">
        <v>232</v>
      </c>
      <c r="H50" s="2">
        <v>232</v>
      </c>
      <c r="I50" s="2">
        <v>15.6</v>
      </c>
      <c r="J50" s="2">
        <v>9.8000000000000007</v>
      </c>
      <c r="K50" s="2">
        <v>5</v>
      </c>
      <c r="L50" s="2">
        <v>3096.36</v>
      </c>
    </row>
    <row r="51" spans="1:12" x14ac:dyDescent="0.3">
      <c r="A51" s="4" t="s">
        <v>88</v>
      </c>
      <c r="B51" s="5">
        <v>45171</v>
      </c>
      <c r="C51" s="5">
        <v>45173</v>
      </c>
      <c r="D51" s="4" t="s">
        <v>33</v>
      </c>
      <c r="E51" s="4" t="s">
        <v>48</v>
      </c>
      <c r="F51" s="4" t="s">
        <v>22</v>
      </c>
      <c r="G51" s="4">
        <v>172</v>
      </c>
      <c r="H51" s="4">
        <v>172</v>
      </c>
      <c r="I51" s="4">
        <v>7.87</v>
      </c>
      <c r="J51" s="4">
        <v>5.83</v>
      </c>
      <c r="K51" s="4">
        <v>3</v>
      </c>
      <c r="L51" s="4">
        <v>1154.5899999999999</v>
      </c>
    </row>
    <row r="52" spans="1:12" x14ac:dyDescent="0.3">
      <c r="A52" s="2" t="s">
        <v>89</v>
      </c>
      <c r="B52" s="3">
        <v>45066</v>
      </c>
      <c r="C52" s="3">
        <v>45067</v>
      </c>
      <c r="D52" s="2" t="s">
        <v>26</v>
      </c>
      <c r="E52" s="2" t="s">
        <v>41</v>
      </c>
      <c r="F52" s="2" t="s">
        <v>19</v>
      </c>
      <c r="G52" s="2">
        <v>219</v>
      </c>
      <c r="H52" s="2">
        <v>219</v>
      </c>
      <c r="I52" s="2">
        <v>24.15</v>
      </c>
      <c r="J52" s="2">
        <v>15.24</v>
      </c>
      <c r="K52" s="2">
        <v>5</v>
      </c>
      <c r="L52" s="2">
        <v>3334.31</v>
      </c>
    </row>
    <row r="53" spans="1:12" x14ac:dyDescent="0.3">
      <c r="A53" s="4" t="s">
        <v>90</v>
      </c>
      <c r="B53" s="5">
        <v>45200</v>
      </c>
      <c r="C53" s="5">
        <v>45204</v>
      </c>
      <c r="D53" s="4" t="s">
        <v>36</v>
      </c>
      <c r="E53" s="4" t="s">
        <v>18</v>
      </c>
      <c r="F53" s="4" t="s">
        <v>38</v>
      </c>
      <c r="G53" s="4">
        <v>323</v>
      </c>
      <c r="H53" s="4">
        <v>323</v>
      </c>
      <c r="I53" s="4">
        <v>6.53</v>
      </c>
      <c r="J53" s="4">
        <v>4.43</v>
      </c>
      <c r="K53" s="4">
        <v>7</v>
      </c>
      <c r="L53" s="4">
        <v>1404.3</v>
      </c>
    </row>
    <row r="54" spans="1:12" x14ac:dyDescent="0.3">
      <c r="A54" s="2" t="s">
        <v>91</v>
      </c>
      <c r="B54" s="3">
        <v>45060</v>
      </c>
      <c r="C54" s="3">
        <v>45062</v>
      </c>
      <c r="D54" s="2" t="s">
        <v>36</v>
      </c>
      <c r="E54" s="2" t="s">
        <v>18</v>
      </c>
      <c r="F54" s="2" t="s">
        <v>27</v>
      </c>
      <c r="G54" s="2">
        <v>252</v>
      </c>
      <c r="H54" s="2">
        <v>252</v>
      </c>
      <c r="I54" s="2">
        <v>10.050000000000001</v>
      </c>
      <c r="J54" s="2">
        <v>6.29</v>
      </c>
      <c r="K54" s="2">
        <v>7</v>
      </c>
      <c r="L54" s="2">
        <v>2141.77</v>
      </c>
    </row>
    <row r="55" spans="1:12" x14ac:dyDescent="0.3">
      <c r="A55" s="4" t="s">
        <v>92</v>
      </c>
      <c r="B55" s="5">
        <v>45167</v>
      </c>
      <c r="C55" s="5">
        <v>45168</v>
      </c>
      <c r="D55" s="4" t="s">
        <v>40</v>
      </c>
      <c r="E55" s="4" t="s">
        <v>34</v>
      </c>
      <c r="F55" s="4" t="s">
        <v>27</v>
      </c>
      <c r="G55" s="4">
        <v>199</v>
      </c>
      <c r="H55" s="4">
        <v>199</v>
      </c>
      <c r="I55" s="4">
        <v>12.62</v>
      </c>
      <c r="J55" s="4">
        <v>9.36</v>
      </c>
      <c r="K55" s="4">
        <v>4</v>
      </c>
      <c r="L55" s="4">
        <v>1721.37</v>
      </c>
    </row>
    <row r="56" spans="1:12" x14ac:dyDescent="0.3">
      <c r="A56" s="2" t="s">
        <v>93</v>
      </c>
      <c r="B56" s="3">
        <v>44937</v>
      </c>
      <c r="C56" s="3">
        <v>44938</v>
      </c>
      <c r="D56" s="2" t="s">
        <v>33</v>
      </c>
      <c r="E56" s="2" t="s">
        <v>18</v>
      </c>
      <c r="F56" s="2" t="s">
        <v>19</v>
      </c>
      <c r="G56" s="2">
        <v>84</v>
      </c>
      <c r="H56" s="2">
        <v>84</v>
      </c>
      <c r="I56" s="2">
        <v>6.95</v>
      </c>
      <c r="J56" s="2">
        <v>5.14</v>
      </c>
      <c r="K56" s="2">
        <v>3</v>
      </c>
      <c r="L56" s="2">
        <v>509.05</v>
      </c>
    </row>
    <row r="57" spans="1:12" x14ac:dyDescent="0.3">
      <c r="A57" s="4" t="s">
        <v>94</v>
      </c>
      <c r="B57" s="5">
        <v>45237</v>
      </c>
      <c r="C57" s="5">
        <v>45240</v>
      </c>
      <c r="D57" s="4" t="s">
        <v>95</v>
      </c>
      <c r="E57" s="4" t="s">
        <v>34</v>
      </c>
      <c r="F57" s="4" t="s">
        <v>19</v>
      </c>
      <c r="G57" s="4">
        <v>387</v>
      </c>
      <c r="H57" s="4">
        <v>387</v>
      </c>
      <c r="I57" s="4">
        <v>19.37</v>
      </c>
      <c r="J57" s="4">
        <v>14.39</v>
      </c>
      <c r="K57" s="4">
        <v>3</v>
      </c>
      <c r="L57" s="4">
        <v>5373.23</v>
      </c>
    </row>
    <row r="58" spans="1:12" x14ac:dyDescent="0.3">
      <c r="A58" s="2" t="s">
        <v>96</v>
      </c>
      <c r="B58" s="3">
        <v>45273</v>
      </c>
      <c r="C58" s="3">
        <v>45280</v>
      </c>
      <c r="D58" s="2" t="s">
        <v>33</v>
      </c>
      <c r="E58" s="2" t="s">
        <v>34</v>
      </c>
      <c r="F58" s="2" t="s">
        <v>38</v>
      </c>
      <c r="G58" s="2">
        <v>223</v>
      </c>
      <c r="H58" s="2">
        <v>223</v>
      </c>
      <c r="I58" s="2">
        <v>13.78</v>
      </c>
      <c r="J58" s="2">
        <v>9.2100000000000009</v>
      </c>
      <c r="K58" s="2">
        <v>3</v>
      </c>
      <c r="L58" s="2">
        <v>2871.96</v>
      </c>
    </row>
    <row r="59" spans="1:12" x14ac:dyDescent="0.3">
      <c r="A59" s="4" t="s">
        <v>97</v>
      </c>
      <c r="B59" s="5">
        <v>45277</v>
      </c>
      <c r="C59" s="5">
        <v>45278</v>
      </c>
      <c r="D59" s="4" t="s">
        <v>26</v>
      </c>
      <c r="E59" s="4" t="s">
        <v>14</v>
      </c>
      <c r="F59" s="4" t="s">
        <v>15</v>
      </c>
      <c r="G59" s="4">
        <v>309</v>
      </c>
      <c r="H59" s="4">
        <v>309</v>
      </c>
      <c r="I59" s="4">
        <v>12.1</v>
      </c>
      <c r="J59" s="4">
        <v>7.69</v>
      </c>
      <c r="K59" s="4">
        <v>5</v>
      </c>
      <c r="L59" s="4">
        <v>2666.92</v>
      </c>
    </row>
    <row r="60" spans="1:12" x14ac:dyDescent="0.3">
      <c r="A60" s="2" t="s">
        <v>98</v>
      </c>
      <c r="B60" s="3">
        <v>45177</v>
      </c>
      <c r="C60" s="3">
        <v>45180</v>
      </c>
      <c r="D60" s="2" t="s">
        <v>29</v>
      </c>
      <c r="E60" s="2" t="s">
        <v>14</v>
      </c>
      <c r="F60" s="2"/>
      <c r="G60" s="2">
        <v>345</v>
      </c>
      <c r="H60" s="2">
        <v>345</v>
      </c>
      <c r="I60" s="2">
        <v>12.91</v>
      </c>
      <c r="J60" s="2">
        <v>7.5</v>
      </c>
      <c r="K60" s="2">
        <v>6</v>
      </c>
      <c r="L60" s="2">
        <v>2602.1999999999998</v>
      </c>
    </row>
    <row r="61" spans="1:12" x14ac:dyDescent="0.3">
      <c r="A61" s="4" t="s">
        <v>99</v>
      </c>
      <c r="B61" s="5">
        <v>45174</v>
      </c>
      <c r="C61" s="5">
        <v>45177</v>
      </c>
      <c r="D61" s="4" t="s">
        <v>50</v>
      </c>
      <c r="E61" s="4" t="s">
        <v>48</v>
      </c>
      <c r="F61" s="4" t="s">
        <v>38</v>
      </c>
      <c r="G61" s="4">
        <v>323</v>
      </c>
      <c r="H61" s="4">
        <v>323</v>
      </c>
      <c r="I61" s="4">
        <v>7.87</v>
      </c>
      <c r="J61" s="4">
        <v>5.64</v>
      </c>
      <c r="K61" s="4">
        <v>3</v>
      </c>
      <c r="L61" s="4">
        <v>1734.27</v>
      </c>
    </row>
    <row r="62" spans="1:12" x14ac:dyDescent="0.3">
      <c r="A62" s="2" t="s">
        <v>100</v>
      </c>
      <c r="B62" s="3">
        <v>45218</v>
      </c>
      <c r="C62" s="3">
        <v>45222</v>
      </c>
      <c r="D62" s="2" t="s">
        <v>101</v>
      </c>
      <c r="E62" s="2" t="s">
        <v>18</v>
      </c>
      <c r="F62" s="2" t="s">
        <v>22</v>
      </c>
      <c r="G62" s="2">
        <v>192</v>
      </c>
      <c r="H62" s="2">
        <v>188</v>
      </c>
      <c r="I62" s="2" t="s">
        <v>102</v>
      </c>
      <c r="J62" s="2">
        <v>5.15</v>
      </c>
      <c r="K62" s="2">
        <v>7</v>
      </c>
      <c r="L62" s="2">
        <v>1100.43</v>
      </c>
    </row>
    <row r="63" spans="1:12" x14ac:dyDescent="0.3">
      <c r="A63" s="4" t="s">
        <v>103</v>
      </c>
      <c r="B63" s="5">
        <v>45232</v>
      </c>
      <c r="C63" s="5">
        <v>45234</v>
      </c>
      <c r="D63" s="4" t="s">
        <v>50</v>
      </c>
      <c r="E63" s="4" t="s">
        <v>34</v>
      </c>
      <c r="F63" s="4" t="s">
        <v>15</v>
      </c>
      <c r="G63" s="4">
        <v>304</v>
      </c>
      <c r="H63" s="4">
        <v>236</v>
      </c>
      <c r="I63" s="4">
        <v>12.77</v>
      </c>
      <c r="J63" s="4">
        <v>8.86</v>
      </c>
      <c r="K63" s="4">
        <v>3</v>
      </c>
      <c r="L63" s="4">
        <v>3213.67</v>
      </c>
    </row>
    <row r="64" spans="1:12" x14ac:dyDescent="0.3">
      <c r="A64" s="2" t="s">
        <v>104</v>
      </c>
      <c r="B64" s="3">
        <v>45156</v>
      </c>
      <c r="C64" s="3">
        <v>45157</v>
      </c>
      <c r="D64" s="2" t="s">
        <v>26</v>
      </c>
      <c r="E64" s="2" t="s">
        <v>41</v>
      </c>
      <c r="F64" s="2" t="s">
        <v>22</v>
      </c>
      <c r="G64" s="2">
        <v>170</v>
      </c>
      <c r="H64" s="2">
        <v>170</v>
      </c>
      <c r="I64" s="2">
        <v>24.3</v>
      </c>
      <c r="J64" s="2">
        <v>14.85</v>
      </c>
      <c r="K64" s="2">
        <v>5</v>
      </c>
      <c r="L64" s="2">
        <v>3152.93</v>
      </c>
    </row>
    <row r="65" spans="1:12" x14ac:dyDescent="0.3">
      <c r="A65" s="4" t="s">
        <v>105</v>
      </c>
      <c r="B65" s="5">
        <v>45103</v>
      </c>
      <c r="C65" s="5">
        <v>45109</v>
      </c>
      <c r="D65" s="4" t="s">
        <v>36</v>
      </c>
      <c r="E65" s="4" t="s">
        <v>48</v>
      </c>
      <c r="F65" s="4" t="s">
        <v>38</v>
      </c>
      <c r="G65" s="4">
        <v>9999</v>
      </c>
      <c r="H65" s="4">
        <v>9999</v>
      </c>
      <c r="I65" s="4">
        <v>7.33</v>
      </c>
      <c r="J65" s="4">
        <v>4.43</v>
      </c>
      <c r="K65" s="4">
        <v>7</v>
      </c>
      <c r="L65" s="4">
        <v>1401.22</v>
      </c>
    </row>
    <row r="66" spans="1:12" x14ac:dyDescent="0.3">
      <c r="A66" s="2" t="s">
        <v>106</v>
      </c>
      <c r="B66" s="3">
        <v>44988</v>
      </c>
      <c r="C66" s="3">
        <v>44990</v>
      </c>
      <c r="D66" s="2" t="s">
        <v>13</v>
      </c>
      <c r="E66" s="2" t="s">
        <v>18</v>
      </c>
      <c r="F66" s="2" t="s">
        <v>15</v>
      </c>
      <c r="G66" s="2">
        <v>118</v>
      </c>
      <c r="H66" s="2">
        <v>118</v>
      </c>
      <c r="I66" s="2">
        <v>8.7200000000000006</v>
      </c>
      <c r="J66" s="2">
        <v>6.06</v>
      </c>
      <c r="K66" s="2">
        <v>4</v>
      </c>
      <c r="L66" s="2">
        <v>1062.58</v>
      </c>
    </row>
    <row r="67" spans="1:12" x14ac:dyDescent="0.3">
      <c r="A67" s="4" t="s">
        <v>107</v>
      </c>
      <c r="B67" s="5">
        <v>45078</v>
      </c>
      <c r="C67" s="5">
        <v>45079</v>
      </c>
      <c r="D67" s="4" t="s">
        <v>50</v>
      </c>
      <c r="E67" s="4" t="s">
        <v>14</v>
      </c>
      <c r="F67" s="4" t="s">
        <v>19</v>
      </c>
      <c r="G67" s="4">
        <v>174</v>
      </c>
      <c r="H67" s="4">
        <v>155</v>
      </c>
      <c r="I67" s="4">
        <v>10.51</v>
      </c>
      <c r="J67" s="4">
        <v>5.88</v>
      </c>
      <c r="K67" s="4">
        <v>3</v>
      </c>
      <c r="L67" s="4">
        <v>954.28</v>
      </c>
    </row>
    <row r="68" spans="1:12" x14ac:dyDescent="0.3">
      <c r="A68" s="2" t="s">
        <v>108</v>
      </c>
      <c r="B68" s="3">
        <v>44979</v>
      </c>
      <c r="C68" s="3">
        <v>44982</v>
      </c>
      <c r="D68" s="2" t="s">
        <v>50</v>
      </c>
      <c r="E68" s="2" t="s">
        <v>18</v>
      </c>
      <c r="F68" s="2" t="s">
        <v>22</v>
      </c>
      <c r="G68" s="2">
        <v>165</v>
      </c>
      <c r="H68" s="2">
        <v>165</v>
      </c>
      <c r="I68" s="2">
        <v>8.51</v>
      </c>
      <c r="J68" s="2">
        <v>4.99</v>
      </c>
      <c r="K68" s="2">
        <v>3</v>
      </c>
      <c r="L68" s="2">
        <v>766.4</v>
      </c>
    </row>
    <row r="69" spans="1:12" x14ac:dyDescent="0.3">
      <c r="A69" s="4" t="s">
        <v>109</v>
      </c>
      <c r="B69" s="5">
        <v>45132</v>
      </c>
      <c r="C69" s="5">
        <v>45137</v>
      </c>
      <c r="D69" s="4" t="s">
        <v>110</v>
      </c>
      <c r="E69" s="4" t="s">
        <v>14</v>
      </c>
      <c r="F69" s="4" t="s">
        <v>27</v>
      </c>
      <c r="G69" s="4">
        <v>342</v>
      </c>
      <c r="H69" s="4">
        <v>342</v>
      </c>
      <c r="I69" s="4">
        <v>10.69</v>
      </c>
      <c r="J69" s="4">
        <v>7.61</v>
      </c>
      <c r="K69" s="4">
        <v>7</v>
      </c>
      <c r="L69" s="4">
        <v>3824.49</v>
      </c>
    </row>
    <row r="70" spans="1:12" x14ac:dyDescent="0.3">
      <c r="A70" s="2" t="s">
        <v>111</v>
      </c>
      <c r="B70" s="3">
        <v>45212</v>
      </c>
      <c r="C70" s="3">
        <v>45214</v>
      </c>
      <c r="D70" s="2" t="s">
        <v>13</v>
      </c>
      <c r="E70" s="2" t="s">
        <v>18</v>
      </c>
      <c r="F70" s="2" t="s">
        <v>27</v>
      </c>
      <c r="G70" s="2">
        <v>287</v>
      </c>
      <c r="H70" s="2">
        <v>287</v>
      </c>
      <c r="I70" s="2">
        <v>10.76</v>
      </c>
      <c r="J70" s="2">
        <v>6.56</v>
      </c>
      <c r="K70" s="2">
        <v>4</v>
      </c>
      <c r="L70" s="2">
        <v>2359.2600000000002</v>
      </c>
    </row>
    <row r="71" spans="1:12" x14ac:dyDescent="0.3">
      <c r="A71" s="4" t="s">
        <v>112</v>
      </c>
      <c r="B71" s="5">
        <v>45244</v>
      </c>
      <c r="C71" s="5">
        <v>45242</v>
      </c>
      <c r="D71" s="4" t="s">
        <v>40</v>
      </c>
      <c r="E71" s="4" t="s">
        <v>34</v>
      </c>
      <c r="F71" s="4" t="s">
        <v>38</v>
      </c>
      <c r="G71" s="4">
        <v>126</v>
      </c>
      <c r="H71" s="4">
        <v>126</v>
      </c>
      <c r="I71" s="4">
        <v>14.38</v>
      </c>
      <c r="J71" s="4">
        <v>8.14</v>
      </c>
      <c r="K71" s="4">
        <v>4</v>
      </c>
      <c r="L71" s="4">
        <v>1070.69</v>
      </c>
    </row>
    <row r="72" spans="1:12" x14ac:dyDescent="0.3">
      <c r="A72" s="2" t="s">
        <v>113</v>
      </c>
      <c r="B72" s="3">
        <v>45136</v>
      </c>
      <c r="C72" s="3">
        <v>45140</v>
      </c>
      <c r="D72" s="2" t="s">
        <v>13</v>
      </c>
      <c r="E72" s="2" t="s">
        <v>18</v>
      </c>
      <c r="F72" s="2" t="s">
        <v>27</v>
      </c>
      <c r="G72" s="2">
        <v>169</v>
      </c>
      <c r="H72" s="2">
        <v>136</v>
      </c>
      <c r="I72" s="2">
        <v>9.7899999999999991</v>
      </c>
      <c r="J72" s="2">
        <v>6.76</v>
      </c>
      <c r="K72" s="2">
        <v>4</v>
      </c>
      <c r="L72" s="2">
        <v>1339.42</v>
      </c>
    </row>
    <row r="73" spans="1:12" x14ac:dyDescent="0.3">
      <c r="A73" s="4" t="s">
        <v>114</v>
      </c>
      <c r="B73" s="5">
        <v>45265</v>
      </c>
      <c r="C73" s="5">
        <v>45267</v>
      </c>
      <c r="D73" s="4" t="s">
        <v>26</v>
      </c>
      <c r="E73" s="4" t="s">
        <v>34</v>
      </c>
      <c r="F73" s="4" t="s">
        <v>38</v>
      </c>
      <c r="G73" s="4">
        <v>237</v>
      </c>
      <c r="H73" s="4">
        <v>237</v>
      </c>
      <c r="I73" s="4">
        <v>14.02</v>
      </c>
      <c r="J73" s="4">
        <v>8.1300000000000008</v>
      </c>
      <c r="K73" s="4">
        <v>5</v>
      </c>
      <c r="L73" s="4">
        <v>2041.22</v>
      </c>
    </row>
    <row r="74" spans="1:12" x14ac:dyDescent="0.3">
      <c r="A74" s="2" t="s">
        <v>115</v>
      </c>
      <c r="B74" s="3">
        <v>45011</v>
      </c>
      <c r="C74" s="3">
        <v>45013</v>
      </c>
      <c r="D74" s="2" t="s">
        <v>56</v>
      </c>
      <c r="E74" s="2" t="s">
        <v>14</v>
      </c>
      <c r="F74" s="2" t="s">
        <v>27</v>
      </c>
      <c r="G74" s="2">
        <v>244</v>
      </c>
      <c r="H74" s="2">
        <v>244</v>
      </c>
      <c r="I74" s="2">
        <v>14.56</v>
      </c>
      <c r="J74" s="2">
        <v>10.050000000000001</v>
      </c>
      <c r="K74" s="2">
        <v>2</v>
      </c>
      <c r="L74" s="2">
        <v>3593.96</v>
      </c>
    </row>
    <row r="75" spans="1:12" x14ac:dyDescent="0.3">
      <c r="A75" s="4" t="s">
        <v>116</v>
      </c>
      <c r="B75" s="5">
        <v>45233</v>
      </c>
      <c r="C75" s="5">
        <v>45237</v>
      </c>
      <c r="D75" s="4" t="s">
        <v>36</v>
      </c>
      <c r="E75" s="4" t="s">
        <v>41</v>
      </c>
      <c r="F75" s="4" t="s">
        <v>27</v>
      </c>
      <c r="G75" s="4">
        <v>396</v>
      </c>
      <c r="H75" s="4">
        <v>396</v>
      </c>
      <c r="I75" s="4">
        <v>19</v>
      </c>
      <c r="J75" s="4">
        <v>10.8</v>
      </c>
      <c r="K75" s="4">
        <v>7</v>
      </c>
      <c r="L75" s="4">
        <v>6317.46</v>
      </c>
    </row>
    <row r="76" spans="1:12" x14ac:dyDescent="0.3">
      <c r="A76" s="2" t="s">
        <v>117</v>
      </c>
      <c r="B76" s="3">
        <v>44947</v>
      </c>
      <c r="C76" s="3">
        <v>44952</v>
      </c>
      <c r="D76" s="2" t="s">
        <v>21</v>
      </c>
      <c r="E76" s="2" t="s">
        <v>34</v>
      </c>
      <c r="F76" s="2" t="s">
        <v>38</v>
      </c>
      <c r="G76" s="2">
        <v>260</v>
      </c>
      <c r="H76" s="2">
        <v>260</v>
      </c>
      <c r="I76" s="2">
        <v>15.98</v>
      </c>
      <c r="J76" s="2">
        <v>9.68</v>
      </c>
      <c r="K76" s="2">
        <v>3</v>
      </c>
      <c r="L76" s="2">
        <v>3770.59</v>
      </c>
    </row>
    <row r="77" spans="1:12" x14ac:dyDescent="0.3">
      <c r="A77" s="4" t="s">
        <v>113</v>
      </c>
      <c r="B77" s="5">
        <v>45167</v>
      </c>
      <c r="C77" s="5">
        <v>45170</v>
      </c>
      <c r="D77" s="4" t="s">
        <v>118</v>
      </c>
      <c r="E77" s="4" t="s">
        <v>41</v>
      </c>
      <c r="F77" s="4" t="s">
        <v>27</v>
      </c>
      <c r="G77" s="4">
        <v>184</v>
      </c>
      <c r="H77" s="4">
        <v>184</v>
      </c>
      <c r="I77" s="4">
        <v>26.29</v>
      </c>
      <c r="J77" s="4">
        <v>16.190000000000001</v>
      </c>
      <c r="K77" s="4">
        <v>4</v>
      </c>
      <c r="L77" s="4">
        <v>3920.92</v>
      </c>
    </row>
    <row r="78" spans="1:12" x14ac:dyDescent="0.3">
      <c r="A78" s="2" t="s">
        <v>119</v>
      </c>
      <c r="B78" s="3">
        <v>44945</v>
      </c>
      <c r="C78" s="3">
        <v>44947</v>
      </c>
      <c r="D78" s="2" t="s">
        <v>62</v>
      </c>
      <c r="E78" s="2" t="s">
        <v>41</v>
      </c>
      <c r="F78" s="2" t="s">
        <v>38</v>
      </c>
      <c r="G78" s="2">
        <v>149</v>
      </c>
      <c r="H78" s="2">
        <v>149</v>
      </c>
      <c r="I78" s="2">
        <v>27.64</v>
      </c>
      <c r="J78" s="2">
        <v>17.440000000000001</v>
      </c>
      <c r="K78" s="2">
        <v>3</v>
      </c>
      <c r="L78" s="2">
        <v>3141.03</v>
      </c>
    </row>
    <row r="79" spans="1:12" x14ac:dyDescent="0.3">
      <c r="A79" s="4" t="s">
        <v>120</v>
      </c>
      <c r="B79" s="5">
        <v>45138</v>
      </c>
      <c r="C79" s="5">
        <v>45141</v>
      </c>
      <c r="D79" s="4" t="s">
        <v>33</v>
      </c>
      <c r="E79" s="4" t="s">
        <v>48</v>
      </c>
      <c r="F79" s="4" t="s">
        <v>22</v>
      </c>
      <c r="G79" s="4">
        <v>205</v>
      </c>
      <c r="H79" s="4">
        <v>205</v>
      </c>
      <c r="I79" s="4">
        <v>6.59</v>
      </c>
      <c r="J79" s="4">
        <v>4.21</v>
      </c>
      <c r="K79" s="4">
        <v>3</v>
      </c>
      <c r="L79" s="4">
        <v>803.47</v>
      </c>
    </row>
    <row r="80" spans="1:12" x14ac:dyDescent="0.3">
      <c r="A80" s="2" t="s">
        <v>121</v>
      </c>
      <c r="B80" s="3">
        <v>45074</v>
      </c>
      <c r="C80" s="3">
        <v>45077</v>
      </c>
      <c r="D80" s="2" t="s">
        <v>50</v>
      </c>
      <c r="E80" s="2" t="s">
        <v>48</v>
      </c>
      <c r="F80" s="2" t="s">
        <v>19</v>
      </c>
      <c r="G80" s="2">
        <v>268</v>
      </c>
      <c r="H80" s="2">
        <v>268</v>
      </c>
      <c r="I80" s="2">
        <v>8.3000000000000007</v>
      </c>
      <c r="J80" s="2">
        <v>5.58</v>
      </c>
      <c r="K80" s="2">
        <v>3</v>
      </c>
      <c r="L80" s="2">
        <v>1560.61</v>
      </c>
    </row>
    <row r="81" spans="1:12" x14ac:dyDescent="0.3">
      <c r="A81" s="4" t="s">
        <v>122</v>
      </c>
      <c r="B81" s="5">
        <v>44934</v>
      </c>
      <c r="C81" s="5">
        <v>44935</v>
      </c>
      <c r="D81" s="4" t="s">
        <v>56</v>
      </c>
      <c r="E81" s="4" t="s">
        <v>34</v>
      </c>
      <c r="F81" s="4" t="s">
        <v>38</v>
      </c>
      <c r="G81" s="4">
        <v>135</v>
      </c>
      <c r="H81" s="4">
        <v>135</v>
      </c>
      <c r="I81" s="4">
        <v>20.22</v>
      </c>
      <c r="J81" s="4">
        <v>12.99</v>
      </c>
      <c r="K81" s="4">
        <v>2</v>
      </c>
      <c r="L81" s="4">
        <v>1701.88</v>
      </c>
    </row>
    <row r="82" spans="1:12" x14ac:dyDescent="0.3">
      <c r="A82" s="2" t="s">
        <v>123</v>
      </c>
      <c r="B82" s="3">
        <v>45187</v>
      </c>
      <c r="C82" s="3">
        <v>45189</v>
      </c>
      <c r="D82" s="2" t="s">
        <v>56</v>
      </c>
      <c r="E82" s="2" t="s">
        <v>41</v>
      </c>
      <c r="F82" s="2" t="s">
        <v>15</v>
      </c>
      <c r="G82" s="2">
        <v>267</v>
      </c>
      <c r="H82" s="2">
        <v>267</v>
      </c>
      <c r="I82" s="2">
        <v>18.920000000000002</v>
      </c>
      <c r="J82" s="2">
        <v>12.49</v>
      </c>
      <c r="K82" s="2">
        <v>2</v>
      </c>
      <c r="L82" s="2">
        <v>3768.86</v>
      </c>
    </row>
    <row r="83" spans="1:12" x14ac:dyDescent="0.3">
      <c r="A83" s="4" t="s">
        <v>124</v>
      </c>
      <c r="B83" s="5">
        <v>45139</v>
      </c>
      <c r="C83" s="5">
        <v>45141</v>
      </c>
      <c r="D83" s="4" t="s">
        <v>56</v>
      </c>
      <c r="E83" s="4" t="s">
        <v>14</v>
      </c>
      <c r="F83" s="4" t="s">
        <v>15</v>
      </c>
      <c r="G83" s="4">
        <v>21</v>
      </c>
      <c r="H83" s="4">
        <v>21</v>
      </c>
      <c r="I83" s="4">
        <v>11.75</v>
      </c>
      <c r="J83" s="4">
        <v>7.84</v>
      </c>
      <c r="K83" s="4">
        <v>2</v>
      </c>
      <c r="L83" s="4"/>
    </row>
    <row r="84" spans="1:12" x14ac:dyDescent="0.3">
      <c r="A84" s="2" t="s">
        <v>125</v>
      </c>
      <c r="B84" s="3">
        <v>45202</v>
      </c>
      <c r="C84" s="3">
        <v>45205</v>
      </c>
      <c r="D84" s="2" t="s">
        <v>36</v>
      </c>
      <c r="E84" s="2" t="s">
        <v>18</v>
      </c>
      <c r="F84" s="2" t="s">
        <v>22</v>
      </c>
      <c r="G84" s="2">
        <v>302</v>
      </c>
      <c r="H84" s="2">
        <v>302</v>
      </c>
      <c r="I84" s="2">
        <v>8.2100000000000009</v>
      </c>
      <c r="J84" s="2">
        <v>6.05</v>
      </c>
      <c r="K84" s="2">
        <v>7</v>
      </c>
      <c r="L84" s="2">
        <v>2597.6999999999998</v>
      </c>
    </row>
    <row r="85" spans="1:12" x14ac:dyDescent="0.3">
      <c r="A85" s="4" t="s">
        <v>126</v>
      </c>
      <c r="B85" s="5">
        <v>45046</v>
      </c>
      <c r="C85" s="5">
        <v>45055</v>
      </c>
      <c r="D85" s="4" t="s">
        <v>127</v>
      </c>
      <c r="E85" s="4" t="s">
        <v>48</v>
      </c>
      <c r="F85" s="4" t="s">
        <v>22</v>
      </c>
      <c r="G85" s="4">
        <v>42</v>
      </c>
      <c r="H85" s="4">
        <v>42</v>
      </c>
      <c r="I85" s="4">
        <v>6.5</v>
      </c>
      <c r="J85" s="4">
        <v>4.76</v>
      </c>
      <c r="K85" s="4">
        <v>5</v>
      </c>
      <c r="L85" s="4">
        <v>225.66</v>
      </c>
    </row>
    <row r="86" spans="1:12" x14ac:dyDescent="0.3">
      <c r="A86" s="2" t="s">
        <v>128</v>
      </c>
      <c r="B86" s="3">
        <v>44991</v>
      </c>
      <c r="C86" s="3">
        <v>44993</v>
      </c>
      <c r="D86" s="2" t="s">
        <v>56</v>
      </c>
      <c r="E86" s="2" t="s">
        <v>41</v>
      </c>
      <c r="F86" s="2" t="s">
        <v>27</v>
      </c>
      <c r="G86" s="2">
        <v>71</v>
      </c>
      <c r="H86" s="2">
        <v>71</v>
      </c>
      <c r="I86" s="2">
        <v>21.28</v>
      </c>
      <c r="J86" s="2">
        <v>13.94</v>
      </c>
      <c r="K86" s="2">
        <v>2</v>
      </c>
      <c r="L86" s="2">
        <v>1162.1099999999999</v>
      </c>
    </row>
    <row r="87" spans="1:12" x14ac:dyDescent="0.3">
      <c r="A87" s="4" t="s">
        <v>129</v>
      </c>
      <c r="B87" s="5">
        <v>44965</v>
      </c>
      <c r="C87" s="5">
        <v>44967</v>
      </c>
      <c r="D87" s="4" t="s">
        <v>56</v>
      </c>
      <c r="E87" s="4" t="s">
        <v>41</v>
      </c>
      <c r="F87" s="4" t="s">
        <v>19</v>
      </c>
      <c r="G87" s="4">
        <v>193</v>
      </c>
      <c r="H87" s="4">
        <v>193</v>
      </c>
      <c r="I87" s="4">
        <v>20.77</v>
      </c>
      <c r="J87" s="4">
        <v>11.76</v>
      </c>
      <c r="K87" s="4">
        <v>2</v>
      </c>
      <c r="L87" s="4">
        <v>2490.16</v>
      </c>
    </row>
    <row r="88" spans="1:12" x14ac:dyDescent="0.3">
      <c r="A88" s="2" t="s">
        <v>130</v>
      </c>
      <c r="B88" s="3">
        <v>45204</v>
      </c>
      <c r="C88" s="3">
        <v>45205</v>
      </c>
      <c r="D88" s="2" t="s">
        <v>40</v>
      </c>
      <c r="E88" s="2" t="s">
        <v>34</v>
      </c>
      <c r="F88" s="2" t="s">
        <v>22</v>
      </c>
      <c r="G88" s="2">
        <v>140</v>
      </c>
      <c r="H88" s="2">
        <v>140</v>
      </c>
      <c r="I88" s="2">
        <v>20.29</v>
      </c>
      <c r="J88" s="2">
        <v>15.21</v>
      </c>
      <c r="K88" s="2">
        <v>4</v>
      </c>
      <c r="L88" s="2">
        <v>2870.56</v>
      </c>
    </row>
    <row r="89" spans="1:12" x14ac:dyDescent="0.3">
      <c r="A89" s="4" t="s">
        <v>131</v>
      </c>
      <c r="B89" s="5">
        <v>45154</v>
      </c>
      <c r="C89" s="5">
        <v>45157</v>
      </c>
      <c r="D89" s="4" t="s">
        <v>132</v>
      </c>
      <c r="E89" s="4" t="s">
        <v>14</v>
      </c>
      <c r="F89" s="4" t="s">
        <v>27</v>
      </c>
      <c r="G89" s="4">
        <v>34</v>
      </c>
      <c r="H89" s="4">
        <v>23</v>
      </c>
      <c r="I89" s="4">
        <v>11.71</v>
      </c>
      <c r="J89" s="4">
        <v>7.32</v>
      </c>
      <c r="K89" s="4">
        <v>4</v>
      </c>
      <c r="L89" s="4">
        <v>245.73</v>
      </c>
    </row>
    <row r="90" spans="1:12" x14ac:dyDescent="0.3">
      <c r="A90" s="2" t="s">
        <v>133</v>
      </c>
      <c r="B90" s="3">
        <v>45014</v>
      </c>
      <c r="C90" s="3">
        <v>45018</v>
      </c>
      <c r="D90" s="2" t="s">
        <v>40</v>
      </c>
      <c r="E90" s="2" t="s">
        <v>48</v>
      </c>
      <c r="F90" s="2" t="s">
        <v>19</v>
      </c>
      <c r="G90" s="2">
        <v>337</v>
      </c>
      <c r="H90" s="2">
        <v>337</v>
      </c>
      <c r="I90" s="2">
        <v>6.59</v>
      </c>
      <c r="J90" s="2">
        <v>4.3899999999999997</v>
      </c>
      <c r="K90" s="2">
        <v>4</v>
      </c>
      <c r="L90" s="2">
        <v>1537.59</v>
      </c>
    </row>
    <row r="91" spans="1:12" x14ac:dyDescent="0.3">
      <c r="A91" s="4" t="s">
        <v>134</v>
      </c>
      <c r="B91" s="5">
        <v>45268</v>
      </c>
      <c r="C91" s="5">
        <v>45270</v>
      </c>
      <c r="D91" s="4" t="s">
        <v>50</v>
      </c>
      <c r="E91" s="4" t="s">
        <v>41</v>
      </c>
      <c r="F91" s="4" t="s">
        <v>15</v>
      </c>
      <c r="G91" s="4">
        <v>167</v>
      </c>
      <c r="H91" s="4">
        <v>167</v>
      </c>
      <c r="I91" s="4">
        <v>17.899999999999999</v>
      </c>
      <c r="J91" s="4">
        <v>11.43</v>
      </c>
      <c r="K91" s="4">
        <v>3</v>
      </c>
      <c r="L91" s="4">
        <v>2113.6999999999998</v>
      </c>
    </row>
    <row r="92" spans="1:12" x14ac:dyDescent="0.3">
      <c r="A92" s="2" t="s">
        <v>135</v>
      </c>
      <c r="B92" s="3">
        <v>45160</v>
      </c>
      <c r="C92" s="3">
        <v>45161</v>
      </c>
      <c r="D92" s="2" t="s">
        <v>50</v>
      </c>
      <c r="E92" s="2" t="s">
        <v>41</v>
      </c>
      <c r="F92" s="2" t="s">
        <v>15</v>
      </c>
      <c r="G92" s="2">
        <v>216</v>
      </c>
      <c r="H92" s="2">
        <v>216</v>
      </c>
      <c r="I92" s="2">
        <v>17.28</v>
      </c>
      <c r="J92" s="2">
        <v>10.82</v>
      </c>
      <c r="K92" s="2">
        <v>3</v>
      </c>
      <c r="L92" s="2">
        <v>2606.77</v>
      </c>
    </row>
    <row r="93" spans="1:12" x14ac:dyDescent="0.3">
      <c r="A93" s="4" t="s">
        <v>136</v>
      </c>
      <c r="B93" s="5">
        <v>45264</v>
      </c>
      <c r="C93" s="5">
        <v>45265</v>
      </c>
      <c r="D93" s="4" t="s">
        <v>95</v>
      </c>
      <c r="E93" s="4" t="s">
        <v>34</v>
      </c>
      <c r="F93" s="4" t="s">
        <v>27</v>
      </c>
      <c r="G93" s="4">
        <v>309</v>
      </c>
      <c r="H93" s="4">
        <v>309</v>
      </c>
      <c r="I93" s="4">
        <v>19</v>
      </c>
      <c r="J93" s="4">
        <v>14.15</v>
      </c>
      <c r="K93" s="4">
        <v>3</v>
      </c>
      <c r="L93" s="4">
        <v>6324.04</v>
      </c>
    </row>
    <row r="94" spans="1:12" x14ac:dyDescent="0.3">
      <c r="A94" s="2" t="s">
        <v>137</v>
      </c>
      <c r="B94" s="3">
        <v>45237</v>
      </c>
      <c r="C94" s="3">
        <v>45233</v>
      </c>
      <c r="D94" s="2" t="s">
        <v>110</v>
      </c>
      <c r="E94" s="2" t="s">
        <v>34</v>
      </c>
      <c r="F94" s="2" t="s">
        <v>19</v>
      </c>
      <c r="G94" s="2">
        <v>345</v>
      </c>
      <c r="H94" s="2">
        <v>345</v>
      </c>
      <c r="I94" s="2">
        <v>14.26</v>
      </c>
      <c r="J94" s="2">
        <v>10</v>
      </c>
      <c r="K94" s="2">
        <v>7</v>
      </c>
      <c r="L94" s="2">
        <v>4693.66</v>
      </c>
    </row>
    <row r="95" spans="1:12" x14ac:dyDescent="0.3">
      <c r="A95" s="4" t="s">
        <v>138</v>
      </c>
      <c r="B95" s="5">
        <v>45085</v>
      </c>
      <c r="C95" s="5">
        <v>45086</v>
      </c>
      <c r="D95" s="4" t="s">
        <v>56</v>
      </c>
      <c r="E95" s="4" t="s">
        <v>14</v>
      </c>
      <c r="F95" s="4" t="s">
        <v>27</v>
      </c>
      <c r="G95" s="4">
        <v>316</v>
      </c>
      <c r="H95" s="4">
        <v>316</v>
      </c>
      <c r="I95" s="4">
        <v>10.55</v>
      </c>
      <c r="J95" s="4">
        <v>7.72</v>
      </c>
      <c r="K95" s="4">
        <v>2</v>
      </c>
      <c r="L95" s="4">
        <v>2673.79</v>
      </c>
    </row>
    <row r="96" spans="1:12" x14ac:dyDescent="0.3">
      <c r="A96" s="2" t="s">
        <v>139</v>
      </c>
      <c r="B96" s="3">
        <v>44994</v>
      </c>
      <c r="C96" s="3">
        <v>44997</v>
      </c>
      <c r="D96" s="2" t="s">
        <v>140</v>
      </c>
      <c r="E96" s="2" t="s">
        <v>18</v>
      </c>
      <c r="F96" s="2" t="s">
        <v>19</v>
      </c>
      <c r="G96" s="2">
        <v>291</v>
      </c>
      <c r="H96" s="2">
        <v>291</v>
      </c>
      <c r="I96" s="2">
        <v>7.71</v>
      </c>
      <c r="J96" s="2">
        <v>4.49</v>
      </c>
      <c r="K96" s="2">
        <v>4</v>
      </c>
      <c r="L96" s="2">
        <v>1892.5</v>
      </c>
    </row>
    <row r="97" spans="1:12" x14ac:dyDescent="0.3">
      <c r="A97" s="4" t="s">
        <v>141</v>
      </c>
      <c r="B97" s="5">
        <v>44985</v>
      </c>
      <c r="C97" s="5">
        <v>44986</v>
      </c>
      <c r="D97" s="4" t="s">
        <v>36</v>
      </c>
      <c r="E97" s="4" t="s">
        <v>34</v>
      </c>
      <c r="F97" s="4" t="s">
        <v>15</v>
      </c>
      <c r="G97" s="4">
        <v>92</v>
      </c>
      <c r="H97" s="4">
        <v>92</v>
      </c>
      <c r="I97" s="4">
        <v>14.03</v>
      </c>
      <c r="J97" s="4">
        <v>9.61</v>
      </c>
      <c r="K97" s="4">
        <v>7</v>
      </c>
      <c r="L97" s="4">
        <v>1153.46</v>
      </c>
    </row>
    <row r="98" spans="1:12" x14ac:dyDescent="0.3">
      <c r="A98" s="2" t="s">
        <v>142</v>
      </c>
      <c r="B98" s="3">
        <v>44973</v>
      </c>
      <c r="C98" s="3">
        <v>44974</v>
      </c>
      <c r="D98" s="2" t="s">
        <v>40</v>
      </c>
      <c r="E98" s="2" t="s">
        <v>48</v>
      </c>
      <c r="F98" s="2" t="s">
        <v>15</v>
      </c>
      <c r="G98" s="2">
        <v>155</v>
      </c>
      <c r="H98" s="2">
        <v>155</v>
      </c>
      <c r="I98" s="2">
        <v>6.44</v>
      </c>
      <c r="J98" s="2">
        <v>4.41</v>
      </c>
      <c r="K98" s="2">
        <v>4</v>
      </c>
      <c r="L98" s="2">
        <v>890.94</v>
      </c>
    </row>
    <row r="99" spans="1:12" x14ac:dyDescent="0.3">
      <c r="A99" s="4" t="s">
        <v>143</v>
      </c>
      <c r="B99" s="5">
        <v>45272</v>
      </c>
      <c r="C99" s="5">
        <v>45273</v>
      </c>
      <c r="D99" s="4" t="s">
        <v>40</v>
      </c>
      <c r="E99" s="4" t="s">
        <v>34</v>
      </c>
      <c r="F99" s="4" t="s">
        <v>27</v>
      </c>
      <c r="G99" s="4">
        <v>337</v>
      </c>
      <c r="H99" s="4">
        <v>337</v>
      </c>
      <c r="I99" s="4">
        <v>17.05</v>
      </c>
      <c r="J99" s="4">
        <v>12.5</v>
      </c>
      <c r="K99" s="4">
        <v>4</v>
      </c>
      <c r="L99" s="4">
        <v>4350.76</v>
      </c>
    </row>
    <row r="100" spans="1:12" x14ac:dyDescent="0.3">
      <c r="A100" s="2" t="s">
        <v>144</v>
      </c>
      <c r="B100" s="3">
        <v>45259</v>
      </c>
      <c r="C100" s="3">
        <v>45261</v>
      </c>
      <c r="D100" s="2" t="s">
        <v>13</v>
      </c>
      <c r="E100" s="2" t="s">
        <v>41</v>
      </c>
      <c r="F100" s="2" t="s">
        <v>15</v>
      </c>
      <c r="G100" s="2">
        <v>43</v>
      </c>
      <c r="H100" s="2">
        <v>43</v>
      </c>
      <c r="I100" s="2">
        <v>19.649999999999999</v>
      </c>
      <c r="J100" s="2">
        <v>12.74</v>
      </c>
      <c r="K100" s="2">
        <v>4</v>
      </c>
      <c r="L100" s="2">
        <v>524.98</v>
      </c>
    </row>
    <row r="101" spans="1:12" x14ac:dyDescent="0.3">
      <c r="A101" s="4" t="s">
        <v>145</v>
      </c>
      <c r="B101" s="5">
        <v>45116</v>
      </c>
      <c r="C101" s="5">
        <v>45118</v>
      </c>
      <c r="D101" s="4" t="s">
        <v>56</v>
      </c>
      <c r="E101" s="4" t="s">
        <v>41</v>
      </c>
      <c r="F101" s="4" t="s">
        <v>22</v>
      </c>
      <c r="G101" s="4">
        <v>320</v>
      </c>
      <c r="H101" s="4">
        <v>320</v>
      </c>
      <c r="I101" s="4">
        <v>17.850000000000001</v>
      </c>
      <c r="J101" s="4">
        <v>11.3</v>
      </c>
      <c r="K101" s="4">
        <v>2</v>
      </c>
      <c r="L101" s="4">
        <v>3469.24</v>
      </c>
    </row>
    <row r="102" spans="1:12" x14ac:dyDescent="0.3">
      <c r="A102" s="2" t="s">
        <v>146</v>
      </c>
      <c r="B102" s="3">
        <v>45070</v>
      </c>
      <c r="C102" s="3">
        <v>45073</v>
      </c>
      <c r="D102" s="2" t="s">
        <v>36</v>
      </c>
      <c r="E102" s="2" t="s">
        <v>48</v>
      </c>
      <c r="F102" s="2" t="s">
        <v>22</v>
      </c>
      <c r="G102" s="2">
        <v>131</v>
      </c>
      <c r="H102" s="2">
        <v>131</v>
      </c>
      <c r="I102" s="2">
        <v>8.2200000000000006</v>
      </c>
      <c r="J102" s="2">
        <v>5.93</v>
      </c>
      <c r="K102" s="2">
        <v>7</v>
      </c>
      <c r="L102" s="2">
        <v>745.46</v>
      </c>
    </row>
    <row r="103" spans="1:12" x14ac:dyDescent="0.3">
      <c r="A103" s="4" t="s">
        <v>147</v>
      </c>
      <c r="B103" s="5">
        <v>44958</v>
      </c>
      <c r="C103" s="5">
        <v>44960</v>
      </c>
      <c r="D103" s="4" t="s">
        <v>29</v>
      </c>
      <c r="E103" s="4" t="s">
        <v>48</v>
      </c>
      <c r="F103" s="4" t="s">
        <v>15</v>
      </c>
      <c r="G103" s="4">
        <v>82</v>
      </c>
      <c r="H103" s="4">
        <v>82</v>
      </c>
      <c r="I103" s="4">
        <v>7.77</v>
      </c>
      <c r="J103" s="4">
        <v>4.42</v>
      </c>
      <c r="K103" s="4">
        <v>6</v>
      </c>
      <c r="L103" s="4">
        <v>372.32</v>
      </c>
    </row>
    <row r="104" spans="1:12" x14ac:dyDescent="0.3">
      <c r="A104" s="2" t="s">
        <v>148</v>
      </c>
      <c r="B104" s="3">
        <v>45051</v>
      </c>
      <c r="C104" s="3">
        <v>45059</v>
      </c>
      <c r="D104" s="2" t="s">
        <v>33</v>
      </c>
      <c r="E104" s="2" t="s">
        <v>14</v>
      </c>
      <c r="F104" s="2" t="s">
        <v>15</v>
      </c>
      <c r="G104" s="2">
        <v>125</v>
      </c>
      <c r="H104" s="2">
        <v>125</v>
      </c>
      <c r="I104" s="2">
        <v>15.11</v>
      </c>
      <c r="J104" s="2">
        <v>8.94</v>
      </c>
      <c r="K104" s="2">
        <v>3</v>
      </c>
      <c r="L104" s="2">
        <v>1150.55</v>
      </c>
    </row>
    <row r="105" spans="1:12" x14ac:dyDescent="0.3">
      <c r="A105" s="4" t="s">
        <v>149</v>
      </c>
      <c r="B105" s="5">
        <v>45232</v>
      </c>
      <c r="C105" s="5">
        <v>45234</v>
      </c>
      <c r="D105" s="4" t="s">
        <v>26</v>
      </c>
      <c r="E105" s="4" t="s">
        <v>34</v>
      </c>
      <c r="F105" s="4" t="s">
        <v>19</v>
      </c>
      <c r="G105" s="4">
        <v>86</v>
      </c>
      <c r="H105" s="4">
        <v>86</v>
      </c>
      <c r="I105" s="4">
        <v>19.190000000000001</v>
      </c>
      <c r="J105" s="4">
        <v>10.98</v>
      </c>
      <c r="K105" s="4">
        <v>5</v>
      </c>
      <c r="L105" s="4">
        <v>1340.75</v>
      </c>
    </row>
    <row r="106" spans="1:12" x14ac:dyDescent="0.3">
      <c r="A106" s="2" t="s">
        <v>150</v>
      </c>
      <c r="B106" s="3">
        <v>45048</v>
      </c>
      <c r="C106" s="3">
        <v>45049</v>
      </c>
      <c r="D106" s="2" t="s">
        <v>56</v>
      </c>
      <c r="E106" s="2" t="s">
        <v>14</v>
      </c>
      <c r="F106" s="2" t="s">
        <v>15</v>
      </c>
      <c r="G106" s="2">
        <v>109</v>
      </c>
      <c r="H106" s="2">
        <v>109</v>
      </c>
      <c r="I106" s="2">
        <v>10.51</v>
      </c>
      <c r="J106" s="2">
        <v>6.67</v>
      </c>
      <c r="K106" s="2">
        <v>2</v>
      </c>
      <c r="L106" s="2">
        <v>703.9</v>
      </c>
    </row>
    <row r="107" spans="1:12" x14ac:dyDescent="0.3">
      <c r="A107" s="4" t="s">
        <v>151</v>
      </c>
      <c r="B107" s="4" t="s">
        <v>152</v>
      </c>
      <c r="C107" s="5">
        <v>45113</v>
      </c>
      <c r="D107" s="4" t="s">
        <v>13</v>
      </c>
      <c r="E107" s="4" t="s">
        <v>41</v>
      </c>
      <c r="F107" s="4" t="s">
        <v>22</v>
      </c>
      <c r="G107" s="4">
        <v>251</v>
      </c>
      <c r="H107" s="4">
        <v>251</v>
      </c>
      <c r="I107" s="4">
        <v>27.34</v>
      </c>
      <c r="J107" s="4">
        <v>15.27</v>
      </c>
      <c r="K107" s="4">
        <v>4</v>
      </c>
      <c r="L107" s="4">
        <v>5250.65</v>
      </c>
    </row>
    <row r="108" spans="1:12" x14ac:dyDescent="0.3">
      <c r="A108" s="2" t="s">
        <v>153</v>
      </c>
      <c r="B108" s="3">
        <v>44958</v>
      </c>
      <c r="C108" s="3">
        <v>44965</v>
      </c>
      <c r="D108" s="2" t="s">
        <v>95</v>
      </c>
      <c r="E108" s="2" t="s">
        <v>41</v>
      </c>
      <c r="F108" s="2" t="s">
        <v>27</v>
      </c>
      <c r="G108" s="2">
        <v>238</v>
      </c>
      <c r="H108" s="2">
        <v>238</v>
      </c>
      <c r="I108" s="2" t="s">
        <v>154</v>
      </c>
      <c r="J108" s="2">
        <v>16.010000000000002</v>
      </c>
      <c r="K108" s="2">
        <v>3</v>
      </c>
      <c r="L108" s="2">
        <v>3597.36</v>
      </c>
    </row>
    <row r="109" spans="1:12" x14ac:dyDescent="0.3">
      <c r="A109" s="4" t="s">
        <v>155</v>
      </c>
      <c r="B109" s="5">
        <v>45002</v>
      </c>
      <c r="C109" s="5">
        <v>45005</v>
      </c>
      <c r="D109" s="4" t="s">
        <v>13</v>
      </c>
      <c r="E109" s="4" t="s">
        <v>34</v>
      </c>
      <c r="F109" s="4" t="s">
        <v>38</v>
      </c>
      <c r="G109" s="4">
        <v>339</v>
      </c>
      <c r="H109" s="4">
        <v>339</v>
      </c>
      <c r="I109" s="4">
        <v>16.940000000000001</v>
      </c>
      <c r="J109" s="4">
        <v>10.42</v>
      </c>
      <c r="K109" s="4">
        <v>4</v>
      </c>
      <c r="L109" s="4">
        <v>5287.18</v>
      </c>
    </row>
    <row r="110" spans="1:12" x14ac:dyDescent="0.3">
      <c r="A110" s="2" t="s">
        <v>156</v>
      </c>
      <c r="B110" s="3">
        <v>45236</v>
      </c>
      <c r="C110" s="3">
        <v>45239</v>
      </c>
      <c r="D110" s="2" t="s">
        <v>50</v>
      </c>
      <c r="E110" s="2" t="s">
        <v>41</v>
      </c>
      <c r="F110" s="2" t="s">
        <v>38</v>
      </c>
      <c r="G110" s="2">
        <v>78</v>
      </c>
      <c r="H110" s="2">
        <v>78</v>
      </c>
      <c r="I110" s="2" t="s">
        <v>157</v>
      </c>
      <c r="J110" s="2">
        <v>16.760000000000002</v>
      </c>
      <c r="K110" s="2">
        <v>3</v>
      </c>
      <c r="L110" s="2">
        <v>1741.96</v>
      </c>
    </row>
    <row r="111" spans="1:12" x14ac:dyDescent="0.3">
      <c r="A111" s="4" t="s">
        <v>158</v>
      </c>
      <c r="B111" s="5">
        <v>45043</v>
      </c>
      <c r="C111" s="5">
        <v>45047</v>
      </c>
      <c r="D111" s="4" t="s">
        <v>26</v>
      </c>
      <c r="E111" s="4" t="s">
        <v>41</v>
      </c>
      <c r="F111" s="4" t="s">
        <v>22</v>
      </c>
      <c r="G111" s="4">
        <v>224</v>
      </c>
      <c r="H111" s="4">
        <v>224</v>
      </c>
      <c r="I111" s="4">
        <v>17.14</v>
      </c>
      <c r="J111" s="4">
        <v>10.89</v>
      </c>
      <c r="K111" s="4">
        <v>5</v>
      </c>
      <c r="L111" s="4">
        <v>3168.89</v>
      </c>
    </row>
    <row r="112" spans="1:12" x14ac:dyDescent="0.3">
      <c r="A112" s="2" t="s">
        <v>159</v>
      </c>
      <c r="B112" s="3">
        <v>44961</v>
      </c>
      <c r="C112" s="3">
        <v>44962</v>
      </c>
      <c r="D112" s="2" t="s">
        <v>29</v>
      </c>
      <c r="E112" s="2" t="s">
        <v>18</v>
      </c>
      <c r="F112" s="2" t="s">
        <v>22</v>
      </c>
      <c r="G112" s="2">
        <v>67</v>
      </c>
      <c r="H112" s="2">
        <v>67</v>
      </c>
      <c r="I112" s="2">
        <v>9.9700000000000006</v>
      </c>
      <c r="J112" s="2">
        <v>6.23</v>
      </c>
      <c r="K112" s="2">
        <v>6</v>
      </c>
      <c r="L112" s="2">
        <v>408.26</v>
      </c>
    </row>
    <row r="113" spans="1:12" x14ac:dyDescent="0.3">
      <c r="A113" s="4" t="s">
        <v>160</v>
      </c>
      <c r="B113" s="5">
        <v>45214</v>
      </c>
      <c r="C113" s="5">
        <v>45215</v>
      </c>
      <c r="D113" s="4" t="s">
        <v>21</v>
      </c>
      <c r="E113" s="4" t="s">
        <v>48</v>
      </c>
      <c r="F113" s="4" t="s">
        <v>38</v>
      </c>
      <c r="G113" s="4">
        <v>230</v>
      </c>
      <c r="H113" s="4">
        <v>230</v>
      </c>
      <c r="I113" s="4">
        <v>7.2</v>
      </c>
      <c r="J113" s="4">
        <v>5.04</v>
      </c>
      <c r="K113" s="4">
        <v>3</v>
      </c>
      <c r="L113" s="4">
        <v>1647.06</v>
      </c>
    </row>
    <row r="114" spans="1:12" x14ac:dyDescent="0.3">
      <c r="A114" s="2" t="s">
        <v>161</v>
      </c>
      <c r="B114" s="3">
        <v>45086</v>
      </c>
      <c r="C114" s="3">
        <v>45089</v>
      </c>
      <c r="D114" s="2" t="s">
        <v>33</v>
      </c>
      <c r="E114" s="2" t="s">
        <v>34</v>
      </c>
      <c r="F114" s="2" t="s">
        <v>38</v>
      </c>
      <c r="G114" s="2">
        <v>279</v>
      </c>
      <c r="H114" s="2">
        <v>279</v>
      </c>
      <c r="I114" s="2">
        <v>17.91</v>
      </c>
      <c r="J114" s="2">
        <v>10.65</v>
      </c>
      <c r="K114" s="2">
        <v>3</v>
      </c>
      <c r="L114" s="2">
        <v>2867.15</v>
      </c>
    </row>
    <row r="115" spans="1:12" x14ac:dyDescent="0.3">
      <c r="A115" s="4" t="s">
        <v>162</v>
      </c>
      <c r="B115" s="5">
        <v>45220</v>
      </c>
      <c r="C115" s="5">
        <v>45224</v>
      </c>
      <c r="D115" s="4" t="s">
        <v>29</v>
      </c>
      <c r="E115" s="4" t="s">
        <v>14</v>
      </c>
      <c r="F115" s="4" t="s">
        <v>15</v>
      </c>
      <c r="G115" s="4">
        <v>307</v>
      </c>
      <c r="H115" s="4">
        <v>307</v>
      </c>
      <c r="I115" s="4">
        <v>15.49</v>
      </c>
      <c r="J115" s="4">
        <v>10.42</v>
      </c>
      <c r="K115" s="4">
        <v>6</v>
      </c>
      <c r="L115" s="4">
        <v>4112.62</v>
      </c>
    </row>
    <row r="116" spans="1:12" x14ac:dyDescent="0.3">
      <c r="A116" s="2" t="s">
        <v>163</v>
      </c>
      <c r="B116" s="3">
        <v>44941</v>
      </c>
      <c r="C116" s="3">
        <v>44944</v>
      </c>
      <c r="D116" s="2" t="s">
        <v>33</v>
      </c>
      <c r="E116" s="2" t="s">
        <v>48</v>
      </c>
      <c r="F116" s="2" t="s">
        <v>15</v>
      </c>
      <c r="G116" s="2">
        <v>178</v>
      </c>
      <c r="H116" s="2">
        <v>178</v>
      </c>
      <c r="I116" s="2">
        <v>6.06</v>
      </c>
      <c r="J116" s="2">
        <v>3.55</v>
      </c>
      <c r="K116" s="2">
        <v>3</v>
      </c>
      <c r="L116" s="2">
        <v>623.02</v>
      </c>
    </row>
    <row r="117" spans="1:12" x14ac:dyDescent="0.3">
      <c r="A117" s="4" t="s">
        <v>164</v>
      </c>
      <c r="B117" s="5">
        <v>45251</v>
      </c>
      <c r="C117" s="5">
        <v>45256</v>
      </c>
      <c r="D117" s="4" t="s">
        <v>40</v>
      </c>
      <c r="E117" s="4" t="s">
        <v>14</v>
      </c>
      <c r="F117" s="4" t="s">
        <v>19</v>
      </c>
      <c r="G117" s="4">
        <v>291</v>
      </c>
      <c r="H117" s="4">
        <v>291</v>
      </c>
      <c r="I117" s="4">
        <v>12.62</v>
      </c>
      <c r="J117" s="4">
        <v>7.8</v>
      </c>
      <c r="K117" s="4">
        <v>4</v>
      </c>
      <c r="L117" s="4">
        <v>2546.79</v>
      </c>
    </row>
    <row r="118" spans="1:12" x14ac:dyDescent="0.3">
      <c r="A118" s="2" t="s">
        <v>165</v>
      </c>
      <c r="B118" s="3">
        <v>44970</v>
      </c>
      <c r="C118" s="3">
        <v>44972</v>
      </c>
      <c r="D118" s="2" t="s">
        <v>29</v>
      </c>
      <c r="E118" s="2" t="s">
        <v>48</v>
      </c>
      <c r="F118" s="2" t="s">
        <v>38</v>
      </c>
      <c r="G118" s="2">
        <v>100</v>
      </c>
      <c r="H118" s="2">
        <v>100</v>
      </c>
      <c r="I118" s="2">
        <v>4.9800000000000004</v>
      </c>
      <c r="J118" s="2">
        <v>2.82</v>
      </c>
      <c r="K118" s="2">
        <v>6</v>
      </c>
      <c r="L118" s="2">
        <v>328.77</v>
      </c>
    </row>
    <row r="119" spans="1:12" x14ac:dyDescent="0.3">
      <c r="A119" s="4" t="s">
        <v>166</v>
      </c>
      <c r="B119" s="5">
        <v>45153</v>
      </c>
      <c r="C119" s="5">
        <v>45155</v>
      </c>
      <c r="D119" s="4" t="s">
        <v>40</v>
      </c>
      <c r="E119" s="4" t="s">
        <v>41</v>
      </c>
      <c r="F119" s="4" t="s">
        <v>38</v>
      </c>
      <c r="G119" s="4">
        <v>282</v>
      </c>
      <c r="H119" s="4">
        <v>282</v>
      </c>
      <c r="I119" s="4">
        <v>21.16</v>
      </c>
      <c r="J119" s="4">
        <v>12.84</v>
      </c>
      <c r="K119" s="4">
        <v>4</v>
      </c>
      <c r="L119" s="4">
        <v>4732.82</v>
      </c>
    </row>
    <row r="120" spans="1:12" x14ac:dyDescent="0.3">
      <c r="A120" s="2" t="s">
        <v>167</v>
      </c>
      <c r="B120" s="3">
        <v>44950</v>
      </c>
      <c r="C120" s="3">
        <v>44955</v>
      </c>
      <c r="D120" s="2" t="s">
        <v>36</v>
      </c>
      <c r="E120" s="2" t="s">
        <v>48</v>
      </c>
      <c r="F120" s="2" t="s">
        <v>15</v>
      </c>
      <c r="G120" s="2">
        <v>48</v>
      </c>
      <c r="H120" s="2">
        <v>42</v>
      </c>
      <c r="I120" s="2">
        <v>8.1999999999999993</v>
      </c>
      <c r="J120" s="2">
        <v>5.77</v>
      </c>
      <c r="K120" s="2">
        <v>7</v>
      </c>
      <c r="L120" s="2">
        <v>376.25</v>
      </c>
    </row>
    <row r="121" spans="1:12" x14ac:dyDescent="0.3">
      <c r="A121" s="4" t="s">
        <v>168</v>
      </c>
      <c r="B121" s="5">
        <v>44930</v>
      </c>
      <c r="C121" s="5">
        <v>44932</v>
      </c>
      <c r="D121" s="4" t="s">
        <v>50</v>
      </c>
      <c r="E121" s="4" t="s">
        <v>34</v>
      </c>
      <c r="F121" s="4" t="s">
        <v>27</v>
      </c>
      <c r="G121" s="4">
        <v>109</v>
      </c>
      <c r="H121" s="4">
        <v>109</v>
      </c>
      <c r="I121" s="4">
        <v>16.79</v>
      </c>
      <c r="J121" s="4">
        <v>10.01</v>
      </c>
      <c r="K121" s="4">
        <v>3</v>
      </c>
      <c r="L121" s="4">
        <v>1347.75</v>
      </c>
    </row>
    <row r="122" spans="1:12" x14ac:dyDescent="0.3">
      <c r="A122" s="2" t="s">
        <v>169</v>
      </c>
      <c r="B122" s="3">
        <v>44948</v>
      </c>
      <c r="C122" s="3">
        <v>44952</v>
      </c>
      <c r="D122" s="2" t="s">
        <v>29</v>
      </c>
      <c r="E122" s="2" t="s">
        <v>14</v>
      </c>
      <c r="F122" s="2" t="s">
        <v>22</v>
      </c>
      <c r="G122" s="2">
        <v>59</v>
      </c>
      <c r="H122" s="2">
        <v>59</v>
      </c>
      <c r="I122" s="2">
        <v>13.75</v>
      </c>
      <c r="J122" s="2">
        <v>9.14</v>
      </c>
      <c r="K122" s="2">
        <v>6</v>
      </c>
      <c r="L122" s="2">
        <v>714.9</v>
      </c>
    </row>
    <row r="123" spans="1:12" x14ac:dyDescent="0.3">
      <c r="A123" s="4" t="s">
        <v>170</v>
      </c>
      <c r="B123" s="5">
        <v>45134</v>
      </c>
      <c r="C123" s="5">
        <v>45137</v>
      </c>
      <c r="D123" s="4" t="s">
        <v>140</v>
      </c>
      <c r="E123" s="4" t="s">
        <v>34</v>
      </c>
      <c r="F123" s="4" t="s">
        <v>27</v>
      </c>
      <c r="G123" s="4">
        <v>107</v>
      </c>
      <c r="H123" s="4">
        <v>107</v>
      </c>
      <c r="I123" s="4">
        <v>17.559999999999999</v>
      </c>
      <c r="J123" s="4">
        <v>12.58</v>
      </c>
      <c r="K123" s="4">
        <v>4</v>
      </c>
      <c r="L123" s="4">
        <v>1954.29</v>
      </c>
    </row>
    <row r="124" spans="1:12" x14ac:dyDescent="0.3">
      <c r="A124" s="2" t="s">
        <v>171</v>
      </c>
      <c r="B124" s="3">
        <v>45051</v>
      </c>
      <c r="C124" s="3">
        <v>45055</v>
      </c>
      <c r="D124" s="2" t="s">
        <v>13</v>
      </c>
      <c r="E124" s="2" t="s">
        <v>41</v>
      </c>
      <c r="F124" s="2" t="s">
        <v>27</v>
      </c>
      <c r="G124" s="2">
        <v>288</v>
      </c>
      <c r="H124" s="2">
        <v>288</v>
      </c>
      <c r="I124" s="2">
        <v>26.45</v>
      </c>
      <c r="J124" s="2">
        <v>18.489999999999998</v>
      </c>
      <c r="K124" s="2">
        <v>4</v>
      </c>
      <c r="L124" s="2">
        <v>5500.55</v>
      </c>
    </row>
    <row r="125" spans="1:12" x14ac:dyDescent="0.3">
      <c r="A125" s="4" t="s">
        <v>172</v>
      </c>
      <c r="B125" s="5">
        <v>45251</v>
      </c>
      <c r="C125" s="5">
        <v>45252</v>
      </c>
      <c r="D125" s="4" t="s">
        <v>56</v>
      </c>
      <c r="E125" s="4" t="s">
        <v>14</v>
      </c>
      <c r="F125" s="4" t="s">
        <v>38</v>
      </c>
      <c r="G125" s="4">
        <v>198</v>
      </c>
      <c r="H125" s="4">
        <v>198</v>
      </c>
      <c r="I125" s="4">
        <v>16.5</v>
      </c>
      <c r="J125" s="4">
        <v>11.2</v>
      </c>
      <c r="K125" s="4">
        <v>2</v>
      </c>
      <c r="L125" s="4">
        <v>2192.35</v>
      </c>
    </row>
    <row r="126" spans="1:12" x14ac:dyDescent="0.3">
      <c r="A126" s="2" t="s">
        <v>173</v>
      </c>
      <c r="B126" s="3">
        <v>45028</v>
      </c>
      <c r="C126" s="3">
        <v>45030</v>
      </c>
      <c r="D126" s="2" t="s">
        <v>13</v>
      </c>
      <c r="E126" s="2" t="s">
        <v>18</v>
      </c>
      <c r="F126" s="2" t="s">
        <v>15</v>
      </c>
      <c r="G126" s="2">
        <v>355</v>
      </c>
      <c r="H126" s="2">
        <v>355</v>
      </c>
      <c r="I126" s="2">
        <v>10.97</v>
      </c>
      <c r="J126" s="2">
        <v>7.41</v>
      </c>
      <c r="K126" s="2">
        <v>4</v>
      </c>
      <c r="L126" s="2">
        <v>3099.77</v>
      </c>
    </row>
    <row r="127" spans="1:12" x14ac:dyDescent="0.3">
      <c r="A127" s="4" t="s">
        <v>174</v>
      </c>
      <c r="B127" s="5">
        <v>45092</v>
      </c>
      <c r="C127" s="5">
        <v>45098</v>
      </c>
      <c r="D127" s="4" t="s">
        <v>101</v>
      </c>
      <c r="E127" s="4" t="s">
        <v>48</v>
      </c>
      <c r="F127" s="4" t="s">
        <v>38</v>
      </c>
      <c r="G127" s="4">
        <v>181</v>
      </c>
      <c r="H127" s="4">
        <v>181</v>
      </c>
      <c r="I127" s="4">
        <v>5.05</v>
      </c>
      <c r="J127" s="4">
        <v>3.22</v>
      </c>
      <c r="K127" s="4">
        <v>7</v>
      </c>
      <c r="L127" s="4">
        <v>630.42999999999995</v>
      </c>
    </row>
    <row r="128" spans="1:12" x14ac:dyDescent="0.3">
      <c r="A128" s="2" t="s">
        <v>175</v>
      </c>
      <c r="B128" s="3">
        <v>45107</v>
      </c>
      <c r="C128" s="3">
        <v>45109</v>
      </c>
      <c r="D128" s="2" t="s">
        <v>50</v>
      </c>
      <c r="E128" s="2" t="s">
        <v>48</v>
      </c>
      <c r="F128" s="2" t="s">
        <v>27</v>
      </c>
      <c r="G128" s="2">
        <v>256</v>
      </c>
      <c r="H128" s="2">
        <v>256</v>
      </c>
      <c r="I128" s="2">
        <v>5</v>
      </c>
      <c r="J128" s="2">
        <v>3.58</v>
      </c>
      <c r="K128" s="2">
        <v>3</v>
      </c>
      <c r="L128" s="2">
        <v>867.03</v>
      </c>
    </row>
    <row r="129" spans="1:12" x14ac:dyDescent="0.3">
      <c r="A129" s="4" t="s">
        <v>176</v>
      </c>
      <c r="B129" s="5">
        <v>45186</v>
      </c>
      <c r="C129" s="5">
        <v>45187</v>
      </c>
      <c r="D129" s="4" t="s">
        <v>13</v>
      </c>
      <c r="E129" s="4" t="s">
        <v>48</v>
      </c>
      <c r="F129" s="4" t="s">
        <v>38</v>
      </c>
      <c r="G129" s="4">
        <v>250</v>
      </c>
      <c r="H129" s="4">
        <v>250</v>
      </c>
      <c r="I129" s="4">
        <v>6.86</v>
      </c>
      <c r="J129" s="4">
        <v>4.03</v>
      </c>
      <c r="K129" s="4">
        <v>4</v>
      </c>
      <c r="L129" s="4">
        <v>1272.48</v>
      </c>
    </row>
    <row r="130" spans="1:12" x14ac:dyDescent="0.3">
      <c r="A130" s="2" t="s">
        <v>177</v>
      </c>
      <c r="B130" s="3">
        <v>44979</v>
      </c>
      <c r="C130" s="3">
        <v>44981</v>
      </c>
      <c r="D130" s="2" t="s">
        <v>56</v>
      </c>
      <c r="E130" s="2" t="s">
        <v>14</v>
      </c>
      <c r="F130" s="2" t="s">
        <v>22</v>
      </c>
      <c r="G130" s="2">
        <v>385</v>
      </c>
      <c r="H130" s="2">
        <v>385</v>
      </c>
      <c r="I130" s="2">
        <v>14.25</v>
      </c>
      <c r="J130" s="2">
        <v>7.95</v>
      </c>
      <c r="K130" s="2">
        <v>2</v>
      </c>
      <c r="L130" s="2">
        <v>4054.19</v>
      </c>
    </row>
    <row r="131" spans="1:12" x14ac:dyDescent="0.3">
      <c r="A131" s="4" t="s">
        <v>178</v>
      </c>
      <c r="B131" s="5">
        <v>45239</v>
      </c>
      <c r="C131" s="5">
        <v>45242</v>
      </c>
      <c r="D131" s="4" t="s">
        <v>101</v>
      </c>
      <c r="E131" s="4" t="s">
        <v>48</v>
      </c>
      <c r="F131" s="4" t="s">
        <v>38</v>
      </c>
      <c r="G131" s="4">
        <v>164</v>
      </c>
      <c r="H131" s="4">
        <v>164</v>
      </c>
      <c r="I131" s="4">
        <v>7.59</v>
      </c>
      <c r="J131" s="4">
        <v>5.21</v>
      </c>
      <c r="K131" s="4">
        <v>7</v>
      </c>
      <c r="L131" s="4">
        <v>795.84</v>
      </c>
    </row>
    <row r="132" spans="1:12" x14ac:dyDescent="0.3">
      <c r="A132" s="2" t="s">
        <v>179</v>
      </c>
      <c r="B132" s="3">
        <v>44975</v>
      </c>
      <c r="C132" s="3">
        <v>44979</v>
      </c>
      <c r="D132" s="2" t="s">
        <v>29</v>
      </c>
      <c r="E132" s="2" t="s">
        <v>14</v>
      </c>
      <c r="F132" s="2" t="s">
        <v>15</v>
      </c>
      <c r="G132" s="2">
        <v>165</v>
      </c>
      <c r="H132" s="2">
        <v>175</v>
      </c>
      <c r="I132" s="2">
        <v>15.73</v>
      </c>
      <c r="J132" s="2">
        <v>11.69</v>
      </c>
      <c r="K132" s="2">
        <v>6</v>
      </c>
      <c r="L132" s="2">
        <v>2433.48</v>
      </c>
    </row>
    <row r="133" spans="1:12" x14ac:dyDescent="0.3">
      <c r="A133" s="4" t="s">
        <v>180</v>
      </c>
      <c r="B133" s="5">
        <v>45225</v>
      </c>
      <c r="C133" s="5">
        <v>45227</v>
      </c>
      <c r="D133" s="4" t="s">
        <v>56</v>
      </c>
      <c r="E133" s="4" t="s">
        <v>34</v>
      </c>
      <c r="F133" s="4" t="s">
        <v>27</v>
      </c>
      <c r="G133" s="4">
        <v>178</v>
      </c>
      <c r="H133" s="4">
        <v>178</v>
      </c>
      <c r="I133" s="4">
        <v>18.29</v>
      </c>
      <c r="J133" s="4">
        <v>11.49</v>
      </c>
      <c r="K133" s="4">
        <v>2</v>
      </c>
      <c r="L133" s="4">
        <v>2570.89</v>
      </c>
    </row>
    <row r="134" spans="1:12" x14ac:dyDescent="0.3">
      <c r="A134" s="2" t="s">
        <v>181</v>
      </c>
      <c r="B134" s="2" t="s">
        <v>182</v>
      </c>
      <c r="C134" s="3">
        <v>45122</v>
      </c>
      <c r="D134" s="2" t="s">
        <v>13</v>
      </c>
      <c r="E134" s="2" t="s">
        <v>34</v>
      </c>
      <c r="F134" s="2" t="s">
        <v>38</v>
      </c>
      <c r="G134" s="2">
        <v>85</v>
      </c>
      <c r="H134" s="2">
        <v>85</v>
      </c>
      <c r="I134" s="2">
        <v>19.46</v>
      </c>
      <c r="J134" s="2">
        <v>13.58</v>
      </c>
      <c r="K134" s="2">
        <v>4</v>
      </c>
      <c r="L134" s="2">
        <v>1513.57</v>
      </c>
    </row>
    <row r="135" spans="1:12" x14ac:dyDescent="0.3">
      <c r="A135" s="4" t="s">
        <v>183</v>
      </c>
      <c r="B135" s="5">
        <v>45112</v>
      </c>
      <c r="C135" s="5">
        <v>45115</v>
      </c>
      <c r="D135" s="4" t="s">
        <v>13</v>
      </c>
      <c r="E135" s="4" t="s">
        <v>41</v>
      </c>
      <c r="F135" s="4" t="s">
        <v>38</v>
      </c>
      <c r="G135" s="4">
        <v>112</v>
      </c>
      <c r="H135" s="4">
        <v>112</v>
      </c>
      <c r="I135" s="4">
        <v>20.100000000000001</v>
      </c>
      <c r="J135" s="4">
        <v>14.13</v>
      </c>
      <c r="K135" s="4">
        <v>4</v>
      </c>
      <c r="L135" s="4">
        <v>1606.62</v>
      </c>
    </row>
    <row r="136" spans="1:12" x14ac:dyDescent="0.3">
      <c r="A136" s="2" t="s">
        <v>184</v>
      </c>
      <c r="B136" s="3">
        <v>45078</v>
      </c>
      <c r="C136" s="3">
        <v>45079</v>
      </c>
      <c r="D136" s="2" t="s">
        <v>56</v>
      </c>
      <c r="E136" s="2" t="s">
        <v>18</v>
      </c>
      <c r="F136" s="2" t="s">
        <v>27</v>
      </c>
      <c r="G136" s="2">
        <v>279</v>
      </c>
      <c r="H136" s="2">
        <v>279</v>
      </c>
      <c r="I136" s="2">
        <v>10.41</v>
      </c>
      <c r="J136" s="2">
        <v>7.57</v>
      </c>
      <c r="K136" s="2">
        <v>2</v>
      </c>
      <c r="L136" s="2">
        <v>1948.66</v>
      </c>
    </row>
    <row r="137" spans="1:12" x14ac:dyDescent="0.3">
      <c r="A137" s="4" t="s">
        <v>185</v>
      </c>
      <c r="B137" s="5">
        <v>45232</v>
      </c>
      <c r="C137" s="5">
        <v>45234</v>
      </c>
      <c r="D137" s="4" t="s">
        <v>29</v>
      </c>
      <c r="E137" s="4" t="s">
        <v>48</v>
      </c>
      <c r="F137" s="4" t="s">
        <v>19</v>
      </c>
      <c r="G137" s="4">
        <v>112</v>
      </c>
      <c r="H137" s="4">
        <v>112</v>
      </c>
      <c r="I137" s="4">
        <v>7.58</v>
      </c>
      <c r="J137" s="4">
        <v>5.4</v>
      </c>
      <c r="K137" s="4">
        <v>6</v>
      </c>
      <c r="L137" s="4">
        <v>604.39</v>
      </c>
    </row>
    <row r="138" spans="1:12" x14ac:dyDescent="0.3">
      <c r="A138" s="2" t="s">
        <v>186</v>
      </c>
      <c r="B138" s="3">
        <v>45113</v>
      </c>
      <c r="C138" s="3">
        <v>45115</v>
      </c>
      <c r="D138" s="2" t="s">
        <v>36</v>
      </c>
      <c r="E138" s="2" t="s">
        <v>14</v>
      </c>
      <c r="F138" s="2" t="s">
        <v>22</v>
      </c>
      <c r="G138" s="2">
        <v>247</v>
      </c>
      <c r="H138" s="2">
        <v>247</v>
      </c>
      <c r="I138" s="2">
        <v>15.02</v>
      </c>
      <c r="J138" s="2">
        <v>10.62</v>
      </c>
      <c r="K138" s="2">
        <v>7</v>
      </c>
      <c r="L138" s="2">
        <v>2729.12</v>
      </c>
    </row>
    <row r="139" spans="1:12" x14ac:dyDescent="0.3">
      <c r="A139" s="4" t="s">
        <v>187</v>
      </c>
      <c r="B139" s="5">
        <v>45026</v>
      </c>
      <c r="C139" s="5">
        <v>45031</v>
      </c>
      <c r="D139" s="4" t="s">
        <v>26</v>
      </c>
      <c r="E139" s="4" t="s">
        <v>34</v>
      </c>
      <c r="F139" s="4" t="s">
        <v>22</v>
      </c>
      <c r="G139" s="4">
        <v>245</v>
      </c>
      <c r="H139" s="4">
        <v>245</v>
      </c>
      <c r="I139" s="4">
        <v>14.54</v>
      </c>
      <c r="J139" s="4">
        <v>9.11</v>
      </c>
      <c r="K139" s="4">
        <v>5</v>
      </c>
      <c r="L139" s="4">
        <v>2715.11</v>
      </c>
    </row>
    <row r="140" spans="1:12" x14ac:dyDescent="0.3">
      <c r="A140" s="2" t="s">
        <v>188</v>
      </c>
      <c r="B140" s="3">
        <v>44997</v>
      </c>
      <c r="C140" s="3">
        <v>44998</v>
      </c>
      <c r="D140" s="2" t="s">
        <v>56</v>
      </c>
      <c r="E140" s="2" t="s">
        <v>18</v>
      </c>
      <c r="F140" s="2" t="s">
        <v>38</v>
      </c>
      <c r="G140" s="2">
        <v>348</v>
      </c>
      <c r="H140" s="2">
        <v>348</v>
      </c>
      <c r="I140" s="2">
        <v>8.18</v>
      </c>
      <c r="J140" s="2">
        <v>6.03</v>
      </c>
      <c r="K140" s="2">
        <v>2</v>
      </c>
      <c r="L140" s="2">
        <v>2784.3</v>
      </c>
    </row>
    <row r="141" spans="1:12" x14ac:dyDescent="0.3">
      <c r="A141" s="4" t="s">
        <v>189</v>
      </c>
      <c r="B141" s="5">
        <v>45009</v>
      </c>
      <c r="C141" s="5">
        <v>45011</v>
      </c>
      <c r="D141" s="4" t="s">
        <v>13</v>
      </c>
      <c r="E141" s="4" t="s">
        <v>34</v>
      </c>
      <c r="F141" s="4" t="s">
        <v>27</v>
      </c>
      <c r="G141" s="4">
        <v>243</v>
      </c>
      <c r="H141" s="4">
        <v>243</v>
      </c>
      <c r="I141" s="4">
        <v>20.190000000000001</v>
      </c>
      <c r="J141" s="4">
        <v>14.4</v>
      </c>
      <c r="K141" s="4">
        <v>4</v>
      </c>
      <c r="L141" s="4">
        <v>5006.58</v>
      </c>
    </row>
    <row r="142" spans="1:12" x14ac:dyDescent="0.3">
      <c r="A142" s="2" t="s">
        <v>190</v>
      </c>
      <c r="B142" s="3">
        <v>45129</v>
      </c>
      <c r="C142" s="3">
        <v>45130</v>
      </c>
      <c r="D142" s="2" t="s">
        <v>33</v>
      </c>
      <c r="E142" s="2" t="s">
        <v>41</v>
      </c>
      <c r="F142" s="2" t="s">
        <v>27</v>
      </c>
      <c r="G142" s="2">
        <v>217</v>
      </c>
      <c r="H142" s="2">
        <v>217</v>
      </c>
      <c r="I142" s="2">
        <v>20.5</v>
      </c>
      <c r="J142" s="2">
        <v>11.39</v>
      </c>
      <c r="K142" s="2">
        <v>3</v>
      </c>
      <c r="L142" s="2">
        <v>3604.86</v>
      </c>
    </row>
    <row r="143" spans="1:12" x14ac:dyDescent="0.3">
      <c r="A143" s="4" t="s">
        <v>191</v>
      </c>
      <c r="B143" s="5">
        <v>44946</v>
      </c>
      <c r="C143" s="5">
        <v>44950</v>
      </c>
      <c r="D143" s="4" t="s">
        <v>29</v>
      </c>
      <c r="E143" s="4" t="s">
        <v>18</v>
      </c>
      <c r="F143" s="4" t="s">
        <v>19</v>
      </c>
      <c r="G143" s="4">
        <v>376</v>
      </c>
      <c r="H143" s="4">
        <v>376</v>
      </c>
      <c r="I143" s="4">
        <v>10.039999999999999</v>
      </c>
      <c r="J143" s="4">
        <v>6.46</v>
      </c>
      <c r="K143" s="4">
        <v>6</v>
      </c>
      <c r="L143" s="4">
        <v>3082.86</v>
      </c>
    </row>
    <row r="144" spans="1:12" x14ac:dyDescent="0.3">
      <c r="A144" s="2" t="s">
        <v>192</v>
      </c>
      <c r="B144" s="3">
        <v>45037</v>
      </c>
      <c r="C144" s="3">
        <v>45041</v>
      </c>
      <c r="D144" s="2" t="s">
        <v>52</v>
      </c>
      <c r="E144" s="2" t="s">
        <v>14</v>
      </c>
      <c r="F144" s="2" t="s">
        <v>15</v>
      </c>
      <c r="G144" s="2">
        <v>76</v>
      </c>
      <c r="H144" s="2">
        <v>76</v>
      </c>
      <c r="I144" s="2">
        <v>11.31</v>
      </c>
      <c r="J144" s="2">
        <v>6.5</v>
      </c>
      <c r="K144" s="2">
        <v>4</v>
      </c>
      <c r="L144" s="2">
        <v>515.27</v>
      </c>
    </row>
    <row r="145" spans="1:12" x14ac:dyDescent="0.3">
      <c r="A145" s="4" t="s">
        <v>193</v>
      </c>
      <c r="B145" s="5">
        <v>45182</v>
      </c>
      <c r="C145" s="5">
        <v>45183</v>
      </c>
      <c r="D145" s="4" t="s">
        <v>36</v>
      </c>
      <c r="E145" s="4" t="s">
        <v>14</v>
      </c>
      <c r="F145" s="4" t="s">
        <v>27</v>
      </c>
      <c r="G145" s="4">
        <v>343</v>
      </c>
      <c r="H145" s="4">
        <v>343</v>
      </c>
      <c r="I145" s="4">
        <v>11.34</v>
      </c>
      <c r="J145" s="4">
        <v>6.56</v>
      </c>
      <c r="K145" s="4">
        <v>7</v>
      </c>
      <c r="L145" s="4">
        <v>2604.5700000000002</v>
      </c>
    </row>
    <row r="146" spans="1:12" x14ac:dyDescent="0.3">
      <c r="A146" s="2" t="s">
        <v>194</v>
      </c>
      <c r="B146" s="3">
        <v>45140</v>
      </c>
      <c r="C146" s="3">
        <v>45146</v>
      </c>
      <c r="D146" s="2" t="s">
        <v>29</v>
      </c>
      <c r="E146" s="2" t="s">
        <v>18</v>
      </c>
      <c r="F146" s="2" t="s">
        <v>38</v>
      </c>
      <c r="G146" s="2">
        <v>63</v>
      </c>
      <c r="H146" s="2">
        <v>63</v>
      </c>
      <c r="I146" s="2">
        <v>8.1300000000000008</v>
      </c>
      <c r="J146" s="2">
        <v>6.02</v>
      </c>
      <c r="K146" s="2">
        <v>6</v>
      </c>
      <c r="L146" s="2">
        <v>465.14</v>
      </c>
    </row>
    <row r="147" spans="1:12" x14ac:dyDescent="0.3">
      <c r="A147" s="4" t="s">
        <v>195</v>
      </c>
      <c r="B147" s="5">
        <v>44949</v>
      </c>
      <c r="C147" s="5">
        <v>44951</v>
      </c>
      <c r="D147" s="4" t="s">
        <v>33</v>
      </c>
      <c r="E147" s="4" t="s">
        <v>41</v>
      </c>
      <c r="F147" s="4" t="s">
        <v>22</v>
      </c>
      <c r="G147" s="4">
        <v>149</v>
      </c>
      <c r="H147" s="4">
        <v>149</v>
      </c>
      <c r="I147" s="4">
        <v>20.29</v>
      </c>
      <c r="J147" s="4">
        <v>11.43</v>
      </c>
      <c r="K147" s="4">
        <v>3</v>
      </c>
      <c r="L147" s="4">
        <v>1779.16</v>
      </c>
    </row>
    <row r="148" spans="1:12" x14ac:dyDescent="0.3">
      <c r="A148" s="2" t="s">
        <v>196</v>
      </c>
      <c r="B148" s="2" t="s">
        <v>197</v>
      </c>
      <c r="C148" s="3">
        <v>44998</v>
      </c>
      <c r="D148" s="2" t="s">
        <v>13</v>
      </c>
      <c r="E148" s="2" t="s">
        <v>48</v>
      </c>
      <c r="F148" s="2" t="s">
        <v>15</v>
      </c>
      <c r="G148" s="2">
        <v>349</v>
      </c>
      <c r="H148" s="2">
        <v>349</v>
      </c>
      <c r="I148" s="2">
        <v>7.6</v>
      </c>
      <c r="J148" s="2">
        <v>4.8899999999999997</v>
      </c>
      <c r="K148" s="2">
        <v>4</v>
      </c>
      <c r="L148" s="2">
        <v>2248</v>
      </c>
    </row>
    <row r="149" spans="1:12" x14ac:dyDescent="0.3">
      <c r="A149" s="4" t="s">
        <v>196</v>
      </c>
      <c r="B149" s="5">
        <v>45161</v>
      </c>
      <c r="C149" s="5">
        <v>45162</v>
      </c>
      <c r="D149" s="4" t="s">
        <v>198</v>
      </c>
      <c r="E149" s="4" t="s">
        <v>18</v>
      </c>
      <c r="F149" s="4" t="s">
        <v>27</v>
      </c>
      <c r="G149" s="4">
        <v>42</v>
      </c>
      <c r="H149" s="4">
        <v>42</v>
      </c>
      <c r="I149" s="4">
        <v>10.65</v>
      </c>
      <c r="J149" s="4">
        <v>6.53</v>
      </c>
      <c r="K149" s="4">
        <v>2</v>
      </c>
      <c r="L149" s="4">
        <v>297.86</v>
      </c>
    </row>
    <row r="150" spans="1:12" x14ac:dyDescent="0.3">
      <c r="A150" s="2" t="s">
        <v>199</v>
      </c>
      <c r="B150" s="3">
        <v>45056</v>
      </c>
      <c r="C150" s="3">
        <v>45058</v>
      </c>
      <c r="D150" s="2" t="s">
        <v>40</v>
      </c>
      <c r="E150" s="2" t="s">
        <v>48</v>
      </c>
      <c r="F150" s="2" t="s">
        <v>22</v>
      </c>
      <c r="G150" s="2">
        <v>166</v>
      </c>
      <c r="H150" s="2">
        <v>166</v>
      </c>
      <c r="I150" s="2">
        <v>7.61</v>
      </c>
      <c r="J150" s="2">
        <v>5.5</v>
      </c>
      <c r="K150" s="2">
        <v>4</v>
      </c>
      <c r="L150" s="2">
        <v>1003.53</v>
      </c>
    </row>
    <row r="151" spans="1:12" x14ac:dyDescent="0.3">
      <c r="A151" s="4" t="s">
        <v>200</v>
      </c>
      <c r="B151" s="5">
        <v>45131</v>
      </c>
      <c r="C151" s="5">
        <v>45135</v>
      </c>
      <c r="D151" s="4" t="s">
        <v>13</v>
      </c>
      <c r="E151" s="4" t="s">
        <v>34</v>
      </c>
      <c r="F151" s="4" t="s">
        <v>22</v>
      </c>
      <c r="G151" s="4">
        <v>193</v>
      </c>
      <c r="H151" s="4">
        <v>193</v>
      </c>
      <c r="I151" s="4">
        <v>16.47</v>
      </c>
      <c r="J151" s="4">
        <v>10.7</v>
      </c>
      <c r="K151" s="4">
        <v>4</v>
      </c>
      <c r="L151" s="4">
        <v>3003.87</v>
      </c>
    </row>
    <row r="152" spans="1:12" x14ac:dyDescent="0.3">
      <c r="A152" s="2" t="s">
        <v>201</v>
      </c>
      <c r="B152" s="3">
        <v>44967</v>
      </c>
      <c r="C152" s="3">
        <v>44968</v>
      </c>
      <c r="D152" s="2" t="s">
        <v>50</v>
      </c>
      <c r="E152" s="2" t="s">
        <v>14</v>
      </c>
      <c r="F152" s="2" t="s">
        <v>22</v>
      </c>
      <c r="G152" s="2">
        <v>299</v>
      </c>
      <c r="H152" s="2">
        <v>299</v>
      </c>
      <c r="I152" s="2">
        <v>10.34</v>
      </c>
      <c r="J152" s="2">
        <v>6.37</v>
      </c>
      <c r="K152" s="2">
        <v>3</v>
      </c>
      <c r="L152" s="2">
        <v>2052.02</v>
      </c>
    </row>
    <row r="153" spans="1:12" x14ac:dyDescent="0.3">
      <c r="A153" s="4" t="s">
        <v>202</v>
      </c>
      <c r="B153" s="5">
        <v>45012</v>
      </c>
      <c r="C153" s="5">
        <v>45015</v>
      </c>
      <c r="D153" s="4" t="s">
        <v>36</v>
      </c>
      <c r="E153" s="4" t="s">
        <v>48</v>
      </c>
      <c r="F153" s="4" t="s">
        <v>22</v>
      </c>
      <c r="G153" s="4">
        <v>248</v>
      </c>
      <c r="H153" s="4">
        <v>218</v>
      </c>
      <c r="I153" s="4">
        <v>7.01</v>
      </c>
      <c r="J153" s="4">
        <v>4.47</v>
      </c>
      <c r="K153" s="4">
        <v>7</v>
      </c>
      <c r="L153" s="4">
        <v>1423.04</v>
      </c>
    </row>
    <row r="154" spans="1:12" x14ac:dyDescent="0.3">
      <c r="A154" s="2" t="s">
        <v>203</v>
      </c>
      <c r="B154" s="3">
        <v>45113</v>
      </c>
      <c r="C154" s="3">
        <v>45116</v>
      </c>
      <c r="D154" s="2" t="s">
        <v>204</v>
      </c>
      <c r="E154" s="2" t="s">
        <v>14</v>
      </c>
      <c r="F154" s="2" t="s">
        <v>22</v>
      </c>
      <c r="G154" s="2">
        <v>367</v>
      </c>
      <c r="H154" s="2">
        <v>367</v>
      </c>
      <c r="I154" s="2">
        <v>9.82</v>
      </c>
      <c r="J154" s="2">
        <v>7.07</v>
      </c>
      <c r="K154" s="2">
        <v>3</v>
      </c>
      <c r="L154" s="2">
        <v>3390.88</v>
      </c>
    </row>
    <row r="155" spans="1:12" x14ac:dyDescent="0.3">
      <c r="A155" s="4" t="s">
        <v>205</v>
      </c>
      <c r="B155" s="5">
        <v>44961</v>
      </c>
      <c r="C155" s="5">
        <v>44967</v>
      </c>
      <c r="D155" s="4" t="s">
        <v>36</v>
      </c>
      <c r="E155" s="4" t="s">
        <v>14</v>
      </c>
      <c r="F155" s="4" t="s">
        <v>19</v>
      </c>
      <c r="G155" s="4">
        <v>207</v>
      </c>
      <c r="H155" s="4">
        <v>207</v>
      </c>
      <c r="I155" s="4">
        <v>16.440000000000001</v>
      </c>
      <c r="J155" s="4">
        <v>9.15</v>
      </c>
      <c r="K155" s="4">
        <v>7</v>
      </c>
      <c r="L155" s="4">
        <v>1879.02</v>
      </c>
    </row>
    <row r="156" spans="1:12" x14ac:dyDescent="0.3">
      <c r="A156" s="2" t="s">
        <v>206</v>
      </c>
      <c r="B156" s="3">
        <v>45154</v>
      </c>
      <c r="C156" s="3">
        <v>45159</v>
      </c>
      <c r="D156" s="2" t="s">
        <v>36</v>
      </c>
      <c r="E156" s="2" t="s">
        <v>34</v>
      </c>
      <c r="F156" s="2" t="s">
        <v>15</v>
      </c>
      <c r="G156" s="2">
        <v>90</v>
      </c>
      <c r="H156" s="2">
        <v>90</v>
      </c>
      <c r="I156" s="2">
        <v>15.58</v>
      </c>
      <c r="J156" s="2">
        <v>10.59</v>
      </c>
      <c r="K156" s="2">
        <v>7</v>
      </c>
      <c r="L156" s="2">
        <v>1000.53</v>
      </c>
    </row>
    <row r="157" spans="1:12" x14ac:dyDescent="0.3">
      <c r="A157" s="4" t="s">
        <v>207</v>
      </c>
      <c r="B157" s="4" t="s">
        <v>208</v>
      </c>
      <c r="C157" s="5">
        <v>45183</v>
      </c>
      <c r="D157" s="4" t="s">
        <v>13</v>
      </c>
      <c r="E157" s="4" t="s">
        <v>14</v>
      </c>
      <c r="F157" s="4" t="s">
        <v>19</v>
      </c>
      <c r="G157" s="4">
        <v>154</v>
      </c>
      <c r="H157" s="4">
        <v>154</v>
      </c>
      <c r="I157" s="4">
        <v>14.67</v>
      </c>
      <c r="J157" s="4">
        <v>8.6999999999999993</v>
      </c>
      <c r="K157" s="4">
        <v>4</v>
      </c>
      <c r="L157" s="4">
        <v>1697.7</v>
      </c>
    </row>
    <row r="158" spans="1:12" x14ac:dyDescent="0.3">
      <c r="A158" s="2" t="s">
        <v>209</v>
      </c>
      <c r="B158" s="3">
        <v>44996</v>
      </c>
      <c r="C158" s="3">
        <v>45000</v>
      </c>
      <c r="D158" s="2" t="s">
        <v>36</v>
      </c>
      <c r="E158" s="2" t="s">
        <v>18</v>
      </c>
      <c r="F158" s="2" t="s">
        <v>27</v>
      </c>
      <c r="G158" s="2">
        <v>108</v>
      </c>
      <c r="H158" s="2">
        <v>108</v>
      </c>
      <c r="I158" s="2">
        <v>8.5399999999999991</v>
      </c>
      <c r="J158" s="2">
        <v>4.8499999999999996</v>
      </c>
      <c r="K158" s="2">
        <v>7</v>
      </c>
      <c r="L158" s="2">
        <v>685.74</v>
      </c>
    </row>
    <row r="159" spans="1:12" x14ac:dyDescent="0.3">
      <c r="A159" s="4" t="s">
        <v>210</v>
      </c>
      <c r="B159" s="5">
        <v>45208</v>
      </c>
      <c r="C159" s="5">
        <v>45211</v>
      </c>
      <c r="D159" s="4" t="s">
        <v>211</v>
      </c>
      <c r="E159" s="4" t="s">
        <v>34</v>
      </c>
      <c r="F159" s="4" t="s">
        <v>27</v>
      </c>
      <c r="G159" s="4">
        <v>100</v>
      </c>
      <c r="H159" s="4">
        <v>100</v>
      </c>
      <c r="I159" s="4">
        <v>20.350000000000001</v>
      </c>
      <c r="J159" s="4">
        <v>13.79</v>
      </c>
      <c r="K159" s="4">
        <v>6</v>
      </c>
      <c r="L159" s="4">
        <v>1897.8</v>
      </c>
    </row>
    <row r="160" spans="1:12" x14ac:dyDescent="0.3">
      <c r="A160" s="2" t="s">
        <v>212</v>
      </c>
      <c r="B160" s="3">
        <v>44998</v>
      </c>
      <c r="C160" s="3">
        <v>45002</v>
      </c>
      <c r="D160" s="2" t="s">
        <v>213</v>
      </c>
      <c r="E160" s="2" t="s">
        <v>14</v>
      </c>
      <c r="F160" s="2" t="s">
        <v>19</v>
      </c>
      <c r="G160" s="2">
        <v>33</v>
      </c>
      <c r="H160" s="2">
        <v>33</v>
      </c>
      <c r="I160" s="2">
        <v>13.72</v>
      </c>
      <c r="J160" s="2">
        <v>8.83</v>
      </c>
      <c r="K160" s="2">
        <v>5</v>
      </c>
      <c r="L160" s="2">
        <v>434.11</v>
      </c>
    </row>
    <row r="161" spans="1:12" x14ac:dyDescent="0.3">
      <c r="A161" s="4" t="s">
        <v>214</v>
      </c>
      <c r="B161" s="4" t="s">
        <v>215</v>
      </c>
      <c r="C161" s="5">
        <v>44962</v>
      </c>
      <c r="D161" s="4" t="s">
        <v>56</v>
      </c>
      <c r="E161" s="4" t="s">
        <v>48</v>
      </c>
      <c r="F161" s="4" t="s">
        <v>27</v>
      </c>
      <c r="G161" s="4">
        <v>289</v>
      </c>
      <c r="H161" s="4">
        <v>289</v>
      </c>
      <c r="I161" s="4">
        <v>6.27</v>
      </c>
      <c r="J161" s="4">
        <v>4.17</v>
      </c>
      <c r="K161" s="4">
        <v>2</v>
      </c>
      <c r="L161" s="4">
        <v>1175.24</v>
      </c>
    </row>
    <row r="162" spans="1:12" x14ac:dyDescent="0.3">
      <c r="A162" s="2" t="s">
        <v>216</v>
      </c>
      <c r="B162" s="3">
        <v>45165</v>
      </c>
      <c r="C162" s="3">
        <v>45168</v>
      </c>
      <c r="D162" s="2" t="s">
        <v>29</v>
      </c>
      <c r="E162" s="2" t="s">
        <v>14</v>
      </c>
      <c r="F162" s="2" t="s">
        <v>22</v>
      </c>
      <c r="G162" s="2">
        <v>85</v>
      </c>
      <c r="H162" s="2">
        <v>85</v>
      </c>
      <c r="I162" s="2">
        <v>15.22</v>
      </c>
      <c r="J162" s="2">
        <v>10.32</v>
      </c>
      <c r="K162" s="2">
        <v>6</v>
      </c>
      <c r="L162" s="2">
        <v>885.25</v>
      </c>
    </row>
    <row r="163" spans="1:12" x14ac:dyDescent="0.3">
      <c r="A163" s="4" t="s">
        <v>217</v>
      </c>
      <c r="B163" s="5">
        <v>44955</v>
      </c>
      <c r="C163" s="5">
        <v>44956</v>
      </c>
      <c r="D163" s="4" t="s">
        <v>56</v>
      </c>
      <c r="E163" s="4" t="s">
        <v>41</v>
      </c>
      <c r="F163" s="4" t="s">
        <v>38</v>
      </c>
      <c r="G163" s="4">
        <v>175</v>
      </c>
      <c r="H163" s="4">
        <v>175</v>
      </c>
      <c r="I163" s="4">
        <v>19.87</v>
      </c>
      <c r="J163" s="4">
        <v>13.75</v>
      </c>
      <c r="K163" s="4">
        <v>2</v>
      </c>
      <c r="L163" s="4">
        <v>2665.2</v>
      </c>
    </row>
    <row r="164" spans="1:12" x14ac:dyDescent="0.3">
      <c r="A164" s="2" t="s">
        <v>218</v>
      </c>
      <c r="B164" s="3">
        <v>45027</v>
      </c>
      <c r="C164" s="3">
        <v>45030</v>
      </c>
      <c r="D164" s="2" t="s">
        <v>50</v>
      </c>
      <c r="E164" s="2" t="s">
        <v>14</v>
      </c>
      <c r="F164" s="2" t="s">
        <v>15</v>
      </c>
      <c r="G164" s="2">
        <v>160</v>
      </c>
      <c r="H164" s="2">
        <v>160</v>
      </c>
      <c r="I164" s="2">
        <v>11.78</v>
      </c>
      <c r="J164" s="2">
        <v>7.74</v>
      </c>
      <c r="K164" s="2">
        <v>3</v>
      </c>
      <c r="L164" s="2">
        <v>1487.99</v>
      </c>
    </row>
    <row r="165" spans="1:12" x14ac:dyDescent="0.3">
      <c r="A165" s="4" t="s">
        <v>219</v>
      </c>
      <c r="B165" s="5">
        <v>45005</v>
      </c>
      <c r="C165" s="5">
        <v>45007</v>
      </c>
      <c r="D165" s="4" t="s">
        <v>56</v>
      </c>
      <c r="E165" s="4" t="s">
        <v>48</v>
      </c>
      <c r="F165" s="4" t="s">
        <v>38</v>
      </c>
      <c r="G165" s="4">
        <v>308</v>
      </c>
      <c r="H165" s="4">
        <v>218</v>
      </c>
      <c r="I165" s="4">
        <v>5.09</v>
      </c>
      <c r="J165" s="4">
        <v>3.77</v>
      </c>
      <c r="K165" s="4">
        <v>2</v>
      </c>
      <c r="L165" s="4">
        <v>1582.21</v>
      </c>
    </row>
    <row r="166" spans="1:12" x14ac:dyDescent="0.3">
      <c r="A166" s="2" t="s">
        <v>220</v>
      </c>
      <c r="B166" s="3">
        <v>45140</v>
      </c>
      <c r="C166" s="3">
        <v>45141</v>
      </c>
      <c r="D166" s="2" t="s">
        <v>50</v>
      </c>
      <c r="E166" s="2" t="s">
        <v>18</v>
      </c>
      <c r="F166" s="2" t="s">
        <v>38</v>
      </c>
      <c r="G166" s="2">
        <v>274</v>
      </c>
      <c r="H166" s="2">
        <v>274</v>
      </c>
      <c r="I166" s="2">
        <v>9.02</v>
      </c>
      <c r="J166" s="2">
        <v>6.12</v>
      </c>
      <c r="K166" s="2">
        <v>3</v>
      </c>
      <c r="L166" s="2">
        <v>1813.14</v>
      </c>
    </row>
    <row r="167" spans="1:12" x14ac:dyDescent="0.3">
      <c r="A167" s="4" t="s">
        <v>221</v>
      </c>
      <c r="B167" s="5">
        <v>45159</v>
      </c>
      <c r="C167" s="5">
        <v>45160</v>
      </c>
      <c r="D167" s="4" t="s">
        <v>26</v>
      </c>
      <c r="E167" s="4" t="s">
        <v>41</v>
      </c>
      <c r="F167" s="4" t="s">
        <v>15</v>
      </c>
      <c r="G167" s="4">
        <v>100</v>
      </c>
      <c r="H167" s="4">
        <v>100</v>
      </c>
      <c r="I167" s="4">
        <v>21.81</v>
      </c>
      <c r="J167" s="4">
        <v>12.89</v>
      </c>
      <c r="K167" s="4">
        <v>5</v>
      </c>
      <c r="L167" s="4">
        <v>1629.29</v>
      </c>
    </row>
    <row r="168" spans="1:12" x14ac:dyDescent="0.3">
      <c r="A168" s="2" t="s">
        <v>222</v>
      </c>
      <c r="B168" s="3">
        <v>45131</v>
      </c>
      <c r="C168" s="3">
        <v>45134</v>
      </c>
      <c r="D168" s="2" t="s">
        <v>29</v>
      </c>
      <c r="E168" s="2" t="s">
        <v>34</v>
      </c>
      <c r="F168" s="2" t="s">
        <v>15</v>
      </c>
      <c r="G168" s="2">
        <v>283</v>
      </c>
      <c r="H168" s="2">
        <v>283</v>
      </c>
      <c r="I168" s="2">
        <v>14.87</v>
      </c>
      <c r="J168" s="2">
        <v>9.57</v>
      </c>
      <c r="K168" s="2">
        <v>6</v>
      </c>
      <c r="L168" s="2">
        <v>2872.12</v>
      </c>
    </row>
    <row r="169" spans="1:12" x14ac:dyDescent="0.3">
      <c r="A169" s="4" t="s">
        <v>223</v>
      </c>
      <c r="B169" s="5">
        <v>44952</v>
      </c>
      <c r="C169" s="5">
        <v>44956</v>
      </c>
      <c r="D169" s="4" t="s">
        <v>26</v>
      </c>
      <c r="E169" s="4" t="s">
        <v>18</v>
      </c>
      <c r="F169" s="4" t="s">
        <v>27</v>
      </c>
      <c r="G169" s="4">
        <v>335</v>
      </c>
      <c r="H169" s="4">
        <v>362</v>
      </c>
      <c r="I169" s="4">
        <v>11.02</v>
      </c>
      <c r="J169" s="4">
        <v>8.0500000000000007</v>
      </c>
      <c r="K169" s="4">
        <v>5</v>
      </c>
      <c r="L169" s="4">
        <v>3743.32</v>
      </c>
    </row>
    <row r="170" spans="1:12" x14ac:dyDescent="0.3">
      <c r="A170" s="2" t="s">
        <v>224</v>
      </c>
      <c r="B170" s="3">
        <v>45182</v>
      </c>
      <c r="C170" s="3">
        <v>45192</v>
      </c>
      <c r="D170" s="2" t="s">
        <v>29</v>
      </c>
      <c r="E170" s="2" t="s">
        <v>18</v>
      </c>
      <c r="F170" s="2" t="s">
        <v>19</v>
      </c>
      <c r="G170" s="2">
        <v>275</v>
      </c>
      <c r="H170" s="2">
        <v>275</v>
      </c>
      <c r="I170" s="2">
        <v>8.7899999999999991</v>
      </c>
      <c r="J170" s="2">
        <v>4.99</v>
      </c>
      <c r="K170" s="2">
        <v>6</v>
      </c>
      <c r="L170" s="2">
        <v>1558.8</v>
      </c>
    </row>
    <row r="171" spans="1:12" x14ac:dyDescent="0.3">
      <c r="A171" s="4" t="s">
        <v>225</v>
      </c>
      <c r="B171" s="5">
        <v>45225</v>
      </c>
      <c r="C171" s="5">
        <v>45226</v>
      </c>
      <c r="D171" s="4" t="s">
        <v>110</v>
      </c>
      <c r="E171" s="4" t="s">
        <v>18</v>
      </c>
      <c r="F171" s="4" t="s">
        <v>19</v>
      </c>
      <c r="G171" s="4">
        <v>164</v>
      </c>
      <c r="H171" s="4">
        <v>164</v>
      </c>
      <c r="I171" s="4">
        <v>10.64</v>
      </c>
      <c r="J171" s="4">
        <v>7.24</v>
      </c>
      <c r="K171" s="4">
        <v>7</v>
      </c>
      <c r="L171" s="4">
        <v>1403.88</v>
      </c>
    </row>
    <row r="172" spans="1:12" x14ac:dyDescent="0.3">
      <c r="A172" s="2" t="s">
        <v>226</v>
      </c>
      <c r="B172" s="3">
        <v>44995</v>
      </c>
      <c r="C172" s="3">
        <v>45004</v>
      </c>
      <c r="D172" s="2" t="s">
        <v>33</v>
      </c>
      <c r="E172" s="2" t="s">
        <v>14</v>
      </c>
      <c r="F172" s="2" t="s">
        <v>22</v>
      </c>
      <c r="G172" s="2">
        <v>207</v>
      </c>
      <c r="H172" s="2">
        <v>207</v>
      </c>
      <c r="I172" s="2" t="s">
        <v>227</v>
      </c>
      <c r="J172" s="2">
        <v>7.71</v>
      </c>
      <c r="K172" s="2">
        <v>3</v>
      </c>
      <c r="L172" s="2">
        <v>1982.46</v>
      </c>
    </row>
    <row r="173" spans="1:12" x14ac:dyDescent="0.3">
      <c r="A173" s="4" t="s">
        <v>228</v>
      </c>
      <c r="B173" s="5">
        <v>45074</v>
      </c>
      <c r="C173" s="5">
        <v>45079</v>
      </c>
      <c r="D173" s="4" t="s">
        <v>127</v>
      </c>
      <c r="E173" s="4" t="s">
        <v>34</v>
      </c>
      <c r="F173" s="4" t="s">
        <v>38</v>
      </c>
      <c r="G173" s="4">
        <v>250</v>
      </c>
      <c r="H173" s="4">
        <v>250</v>
      </c>
      <c r="I173" s="4">
        <v>14.52</v>
      </c>
      <c r="J173" s="4">
        <v>10.86</v>
      </c>
      <c r="K173" s="4">
        <v>5</v>
      </c>
      <c r="L173" s="4">
        <v>3551.87</v>
      </c>
    </row>
    <row r="174" spans="1:12" x14ac:dyDescent="0.3">
      <c r="A174" s="2" t="s">
        <v>229</v>
      </c>
      <c r="B174" s="3">
        <v>45128</v>
      </c>
      <c r="C174" s="3">
        <v>45131</v>
      </c>
      <c r="D174" s="2" t="s">
        <v>13</v>
      </c>
      <c r="E174" s="2" t="s">
        <v>18</v>
      </c>
      <c r="F174" s="2" t="s">
        <v>27</v>
      </c>
      <c r="G174" s="2">
        <v>305</v>
      </c>
      <c r="H174" s="2">
        <v>305</v>
      </c>
      <c r="I174" s="2">
        <v>10.02</v>
      </c>
      <c r="J174" s="2">
        <v>5.91</v>
      </c>
      <c r="K174" s="2">
        <v>4</v>
      </c>
      <c r="L174" s="2">
        <v>2172.9299999999998</v>
      </c>
    </row>
    <row r="175" spans="1:12" x14ac:dyDescent="0.3">
      <c r="A175" s="4" t="s">
        <v>230</v>
      </c>
      <c r="B175" s="5">
        <v>44997</v>
      </c>
      <c r="C175" s="5">
        <v>44999</v>
      </c>
      <c r="D175" s="4" t="s">
        <v>33</v>
      </c>
      <c r="E175" s="4" t="s">
        <v>14</v>
      </c>
      <c r="F175" s="4" t="s">
        <v>27</v>
      </c>
      <c r="G175" s="4">
        <v>285</v>
      </c>
      <c r="H175" s="4">
        <v>285</v>
      </c>
      <c r="I175" s="4">
        <v>13.97</v>
      </c>
      <c r="J175" s="4">
        <v>9.1199999999999992</v>
      </c>
      <c r="K175" s="4">
        <v>3</v>
      </c>
      <c r="L175" s="4">
        <v>2850.75</v>
      </c>
    </row>
    <row r="176" spans="1:12" x14ac:dyDescent="0.3">
      <c r="A176" s="2" t="s">
        <v>231</v>
      </c>
      <c r="B176" s="3">
        <v>45242</v>
      </c>
      <c r="C176" s="3">
        <v>45245</v>
      </c>
      <c r="D176" s="2" t="s">
        <v>29</v>
      </c>
      <c r="E176" s="2" t="s">
        <v>18</v>
      </c>
      <c r="F176" s="2" t="s">
        <v>22</v>
      </c>
      <c r="G176" s="2">
        <v>323</v>
      </c>
      <c r="H176" s="2">
        <v>323</v>
      </c>
      <c r="I176" s="2">
        <v>10.38</v>
      </c>
      <c r="J176" s="2">
        <v>6.81</v>
      </c>
      <c r="K176" s="2">
        <v>6</v>
      </c>
      <c r="L176" s="2">
        <v>2915.05</v>
      </c>
    </row>
    <row r="177" spans="1:12" x14ac:dyDescent="0.3">
      <c r="A177" s="4" t="s">
        <v>232</v>
      </c>
      <c r="B177" s="5">
        <v>45115</v>
      </c>
      <c r="C177" s="5">
        <v>45116</v>
      </c>
      <c r="D177" s="4" t="s">
        <v>50</v>
      </c>
      <c r="E177" s="4" t="s">
        <v>41</v>
      </c>
      <c r="F177" s="4" t="s">
        <v>27</v>
      </c>
      <c r="G177" s="4">
        <v>233</v>
      </c>
      <c r="H177" s="4">
        <v>233</v>
      </c>
      <c r="I177" s="4">
        <v>25.56</v>
      </c>
      <c r="J177" s="4">
        <v>17.77</v>
      </c>
      <c r="K177" s="4">
        <v>3</v>
      </c>
      <c r="L177" s="4">
        <v>5435.64</v>
      </c>
    </row>
    <row r="178" spans="1:12" x14ac:dyDescent="0.3">
      <c r="A178" s="2" t="s">
        <v>233</v>
      </c>
      <c r="B178" s="3">
        <v>45062</v>
      </c>
      <c r="C178" s="3">
        <v>45070</v>
      </c>
      <c r="D178" s="2" t="s">
        <v>33</v>
      </c>
      <c r="E178" s="2" t="s">
        <v>48</v>
      </c>
      <c r="F178" s="2" t="s">
        <v>22</v>
      </c>
      <c r="G178" s="2">
        <v>315</v>
      </c>
      <c r="H178" s="2">
        <v>315</v>
      </c>
      <c r="I178" s="2">
        <v>4.9800000000000004</v>
      </c>
      <c r="J178" s="2">
        <v>3.22</v>
      </c>
      <c r="K178" s="2">
        <v>3</v>
      </c>
      <c r="L178" s="2">
        <v>1231.9100000000001</v>
      </c>
    </row>
    <row r="179" spans="1:12" x14ac:dyDescent="0.3">
      <c r="A179" s="4" t="s">
        <v>234</v>
      </c>
      <c r="B179" s="5">
        <v>44943</v>
      </c>
      <c r="C179" s="5">
        <v>44944</v>
      </c>
      <c r="D179" s="4" t="s">
        <v>40</v>
      </c>
      <c r="E179" s="4" t="s">
        <v>18</v>
      </c>
      <c r="F179" s="4" t="s">
        <v>19</v>
      </c>
      <c r="G179" s="4">
        <v>117</v>
      </c>
      <c r="H179" s="4">
        <v>101</v>
      </c>
      <c r="I179" s="4">
        <v>8.41</v>
      </c>
      <c r="J179" s="4">
        <v>5.32</v>
      </c>
      <c r="K179" s="4">
        <v>4</v>
      </c>
      <c r="L179" s="4">
        <v>636.34</v>
      </c>
    </row>
    <row r="180" spans="1:12" x14ac:dyDescent="0.3">
      <c r="A180" s="2" t="s">
        <v>235</v>
      </c>
      <c r="B180" s="3">
        <v>45192</v>
      </c>
      <c r="C180" s="3">
        <v>45195</v>
      </c>
      <c r="D180" s="2" t="s">
        <v>36</v>
      </c>
      <c r="E180" s="2" t="s">
        <v>14</v>
      </c>
      <c r="F180" s="2" t="s">
        <v>19</v>
      </c>
      <c r="G180" s="2">
        <v>359</v>
      </c>
      <c r="H180" s="2">
        <v>359</v>
      </c>
      <c r="I180" s="2">
        <v>12.31</v>
      </c>
      <c r="J180" s="2">
        <v>9.1300000000000008</v>
      </c>
      <c r="K180" s="2">
        <v>7</v>
      </c>
      <c r="L180" s="2">
        <v>3853.88</v>
      </c>
    </row>
    <row r="181" spans="1:12" x14ac:dyDescent="0.3">
      <c r="A181" s="4" t="s">
        <v>236</v>
      </c>
      <c r="B181" s="5">
        <v>45273</v>
      </c>
      <c r="C181" s="5">
        <v>45279</v>
      </c>
      <c r="D181" s="4" t="s">
        <v>29</v>
      </c>
      <c r="E181" s="4" t="s">
        <v>48</v>
      </c>
      <c r="F181" s="4" t="s">
        <v>15</v>
      </c>
      <c r="G181" s="4">
        <v>368</v>
      </c>
      <c r="H181" s="4">
        <v>368</v>
      </c>
      <c r="I181" s="4" t="s">
        <v>237</v>
      </c>
      <c r="J181" s="4">
        <v>4.91</v>
      </c>
      <c r="K181" s="4">
        <v>6</v>
      </c>
      <c r="L181" s="4">
        <v>1834.63</v>
      </c>
    </row>
    <row r="182" spans="1:12" x14ac:dyDescent="0.3">
      <c r="A182" s="2" t="s">
        <v>238</v>
      </c>
      <c r="B182" s="3">
        <v>45079</v>
      </c>
      <c r="C182" s="3">
        <v>45082</v>
      </c>
      <c r="D182" s="2" t="s">
        <v>26</v>
      </c>
      <c r="E182" s="2" t="s">
        <v>34</v>
      </c>
      <c r="F182" s="2" t="s">
        <v>38</v>
      </c>
      <c r="G182" s="2">
        <v>167</v>
      </c>
      <c r="H182" s="2">
        <v>167</v>
      </c>
      <c r="I182" s="2">
        <v>18.21</v>
      </c>
      <c r="J182" s="2">
        <v>11.8</v>
      </c>
      <c r="K182" s="2">
        <v>5</v>
      </c>
      <c r="L182" s="2">
        <v>2340.84</v>
      </c>
    </row>
    <row r="183" spans="1:12" x14ac:dyDescent="0.3">
      <c r="A183" s="4" t="s">
        <v>239</v>
      </c>
      <c r="B183" s="5">
        <v>45220</v>
      </c>
      <c r="C183" s="5">
        <v>45222</v>
      </c>
      <c r="D183" s="4" t="s">
        <v>50</v>
      </c>
      <c r="E183" s="4" t="s">
        <v>34</v>
      </c>
      <c r="F183" s="4" t="s">
        <v>27</v>
      </c>
      <c r="G183" s="4">
        <v>222</v>
      </c>
      <c r="H183" s="4">
        <v>222</v>
      </c>
      <c r="I183" s="4">
        <v>20.59</v>
      </c>
      <c r="J183" s="4">
        <v>14.64</v>
      </c>
      <c r="K183" s="4">
        <v>3</v>
      </c>
      <c r="L183" s="4">
        <v>3491.47</v>
      </c>
    </row>
    <row r="184" spans="1:12" x14ac:dyDescent="0.3">
      <c r="A184" s="2" t="s">
        <v>240</v>
      </c>
      <c r="B184" s="3">
        <v>45153</v>
      </c>
      <c r="C184" s="3">
        <v>45156</v>
      </c>
      <c r="D184" s="2" t="s">
        <v>50</v>
      </c>
      <c r="E184" s="2" t="s">
        <v>14</v>
      </c>
      <c r="F184" s="2" t="s">
        <v>15</v>
      </c>
      <c r="G184" s="2">
        <v>265</v>
      </c>
      <c r="H184" s="2">
        <v>265</v>
      </c>
      <c r="I184" s="2">
        <v>15.56</v>
      </c>
      <c r="J184" s="2">
        <v>9.4</v>
      </c>
      <c r="K184" s="2">
        <v>3</v>
      </c>
      <c r="L184" s="2">
        <v>3081.89</v>
      </c>
    </row>
    <row r="185" spans="1:12" x14ac:dyDescent="0.3">
      <c r="A185" s="4" t="s">
        <v>241</v>
      </c>
      <c r="B185" s="5">
        <v>45242</v>
      </c>
      <c r="C185" s="5">
        <v>45243</v>
      </c>
      <c r="D185" s="4" t="s">
        <v>50</v>
      </c>
      <c r="E185" s="4" t="s">
        <v>18</v>
      </c>
      <c r="F185" s="4" t="s">
        <v>27</v>
      </c>
      <c r="G185" s="4">
        <v>144</v>
      </c>
      <c r="H185" s="4">
        <v>144</v>
      </c>
      <c r="I185" s="4">
        <v>10.74</v>
      </c>
      <c r="J185" s="4">
        <v>6.39</v>
      </c>
      <c r="K185" s="4">
        <v>3</v>
      </c>
      <c r="L185" s="4">
        <v>956.69</v>
      </c>
    </row>
    <row r="186" spans="1:12" x14ac:dyDescent="0.3">
      <c r="A186" s="2" t="s">
        <v>242</v>
      </c>
      <c r="B186" s="3">
        <v>45168</v>
      </c>
      <c r="C186" s="3">
        <v>45170</v>
      </c>
      <c r="D186" s="2" t="s">
        <v>13</v>
      </c>
      <c r="E186" s="2" t="s">
        <v>41</v>
      </c>
      <c r="F186" s="2" t="s">
        <v>15</v>
      </c>
      <c r="G186" s="2">
        <v>22</v>
      </c>
      <c r="H186" s="2">
        <v>22</v>
      </c>
      <c r="I186" s="2">
        <v>27.73</v>
      </c>
      <c r="J186" s="2">
        <v>16.13</v>
      </c>
      <c r="K186" s="2">
        <v>4</v>
      </c>
      <c r="L186" s="2">
        <v>458.39</v>
      </c>
    </row>
    <row r="187" spans="1:12" x14ac:dyDescent="0.3">
      <c r="A187" s="4" t="s">
        <v>243</v>
      </c>
      <c r="B187" s="5">
        <v>45074</v>
      </c>
      <c r="C187" s="5">
        <v>45080</v>
      </c>
      <c r="D187" s="4" t="s">
        <v>36</v>
      </c>
      <c r="E187" s="4" t="s">
        <v>41</v>
      </c>
      <c r="F187" s="4"/>
      <c r="G187" s="4">
        <v>50</v>
      </c>
      <c r="H187" s="4">
        <v>50</v>
      </c>
      <c r="I187" s="4">
        <v>17.07</v>
      </c>
      <c r="J187" s="4">
        <v>11.35</v>
      </c>
      <c r="K187" s="4">
        <v>7</v>
      </c>
      <c r="L187" s="4">
        <v>692.97</v>
      </c>
    </row>
    <row r="188" spans="1:12" x14ac:dyDescent="0.3">
      <c r="A188" s="2" t="s">
        <v>244</v>
      </c>
      <c r="B188" s="3">
        <v>45017</v>
      </c>
      <c r="C188" s="3">
        <v>45021</v>
      </c>
      <c r="D188" s="2" t="s">
        <v>33</v>
      </c>
      <c r="E188" s="2" t="s">
        <v>18</v>
      </c>
      <c r="F188" s="2" t="s">
        <v>22</v>
      </c>
      <c r="G188" s="2">
        <v>223</v>
      </c>
      <c r="H188" s="2">
        <v>223</v>
      </c>
      <c r="I188" s="2">
        <v>7.29</v>
      </c>
      <c r="J188" s="2">
        <v>5.0999999999999996</v>
      </c>
      <c r="K188" s="2">
        <v>3</v>
      </c>
      <c r="L188" s="2">
        <v>1618.8</v>
      </c>
    </row>
    <row r="189" spans="1:12" x14ac:dyDescent="0.3">
      <c r="A189" s="4" t="s">
        <v>245</v>
      </c>
      <c r="B189" s="5">
        <v>45079</v>
      </c>
      <c r="C189" s="5">
        <v>45080</v>
      </c>
      <c r="D189" s="4" t="s">
        <v>50</v>
      </c>
      <c r="E189" s="4" t="s">
        <v>14</v>
      </c>
      <c r="F189" s="4" t="s">
        <v>27</v>
      </c>
      <c r="G189" s="4">
        <v>191</v>
      </c>
      <c r="H189" s="4">
        <v>191</v>
      </c>
      <c r="I189" s="4">
        <v>16.72</v>
      </c>
      <c r="J189" s="4">
        <v>11.01</v>
      </c>
      <c r="K189" s="4">
        <v>3</v>
      </c>
      <c r="L189" s="4">
        <v>2515.81</v>
      </c>
    </row>
    <row r="190" spans="1:12" x14ac:dyDescent="0.3">
      <c r="A190" s="2" t="s">
        <v>246</v>
      </c>
      <c r="B190" s="3">
        <v>45066</v>
      </c>
      <c r="C190" s="3">
        <v>45067</v>
      </c>
      <c r="D190" s="2" t="s">
        <v>56</v>
      </c>
      <c r="E190" s="2" t="s">
        <v>48</v>
      </c>
      <c r="F190" s="2" t="s">
        <v>22</v>
      </c>
      <c r="G190" s="2">
        <v>189</v>
      </c>
      <c r="H190" s="2">
        <v>189</v>
      </c>
      <c r="I190" s="2">
        <v>6.45</v>
      </c>
      <c r="J190" s="2">
        <v>3.88</v>
      </c>
      <c r="K190" s="2">
        <v>2</v>
      </c>
      <c r="L190" s="2">
        <v>741.91</v>
      </c>
    </row>
    <row r="191" spans="1:12" x14ac:dyDescent="0.3">
      <c r="A191" s="4" t="s">
        <v>247</v>
      </c>
      <c r="B191" s="5">
        <v>45272</v>
      </c>
      <c r="C191" s="5">
        <v>45274</v>
      </c>
      <c r="D191" s="4" t="s">
        <v>29</v>
      </c>
      <c r="E191" s="4" t="s">
        <v>34</v>
      </c>
      <c r="F191" s="4" t="s">
        <v>38</v>
      </c>
      <c r="G191" s="4">
        <v>332</v>
      </c>
      <c r="H191" s="4">
        <v>332</v>
      </c>
      <c r="I191" s="4">
        <v>20.07</v>
      </c>
      <c r="J191" s="4">
        <v>14.36</v>
      </c>
      <c r="K191" s="4">
        <v>6</v>
      </c>
      <c r="L191" s="4">
        <v>5764.73</v>
      </c>
    </row>
    <row r="192" spans="1:12" x14ac:dyDescent="0.3">
      <c r="A192" s="2" t="s">
        <v>248</v>
      </c>
      <c r="B192" s="3">
        <v>45021</v>
      </c>
      <c r="C192" s="3">
        <v>45029</v>
      </c>
      <c r="D192" s="2" t="s">
        <v>13</v>
      </c>
      <c r="E192" s="2" t="s">
        <v>41</v>
      </c>
      <c r="F192" s="2" t="s">
        <v>27</v>
      </c>
      <c r="G192" s="2">
        <v>185</v>
      </c>
      <c r="H192" s="2">
        <v>185</v>
      </c>
      <c r="I192" s="2">
        <v>16.079999999999998</v>
      </c>
      <c r="J192" s="2">
        <v>10.08</v>
      </c>
      <c r="K192" s="2">
        <v>4</v>
      </c>
      <c r="L192" s="2">
        <v>2178.16</v>
      </c>
    </row>
    <row r="193" spans="1:12" x14ac:dyDescent="0.3">
      <c r="A193" s="4" t="s">
        <v>249</v>
      </c>
      <c r="B193" s="5">
        <v>45225</v>
      </c>
      <c r="C193" s="5">
        <v>45226</v>
      </c>
      <c r="D193" s="4" t="s">
        <v>50</v>
      </c>
      <c r="E193" s="4" t="s">
        <v>34</v>
      </c>
      <c r="F193" s="4" t="s">
        <v>15</v>
      </c>
      <c r="G193" s="4">
        <v>153</v>
      </c>
      <c r="H193" s="4">
        <v>153</v>
      </c>
      <c r="I193" s="4">
        <v>18.23</v>
      </c>
      <c r="J193" s="4">
        <v>10.25</v>
      </c>
      <c r="K193" s="4">
        <v>3</v>
      </c>
      <c r="L193" s="4">
        <v>1522.67</v>
      </c>
    </row>
    <row r="194" spans="1:12" x14ac:dyDescent="0.3">
      <c r="A194" s="2" t="s">
        <v>250</v>
      </c>
      <c r="B194" s="3">
        <v>45278</v>
      </c>
      <c r="C194" s="3">
        <v>45281</v>
      </c>
      <c r="D194" s="2" t="s">
        <v>50</v>
      </c>
      <c r="E194" s="2" t="s">
        <v>18</v>
      </c>
      <c r="F194" s="2" t="s">
        <v>22</v>
      </c>
      <c r="G194" s="2">
        <v>179</v>
      </c>
      <c r="H194" s="2">
        <v>179</v>
      </c>
      <c r="I194" s="2">
        <v>9.4700000000000006</v>
      </c>
      <c r="J194" s="2">
        <v>6.99</v>
      </c>
      <c r="K194" s="2">
        <v>3</v>
      </c>
      <c r="L194" s="2">
        <v>1402.01</v>
      </c>
    </row>
    <row r="195" spans="1:12" x14ac:dyDescent="0.3">
      <c r="A195" s="4" t="s">
        <v>251</v>
      </c>
      <c r="B195" s="5">
        <v>45171</v>
      </c>
      <c r="C195" s="5">
        <v>45176</v>
      </c>
      <c r="D195" s="4" t="s">
        <v>26</v>
      </c>
      <c r="E195" s="4" t="s">
        <v>18</v>
      </c>
      <c r="F195" s="4" t="s">
        <v>19</v>
      </c>
      <c r="G195" s="4">
        <v>211</v>
      </c>
      <c r="H195" s="4">
        <v>211</v>
      </c>
      <c r="I195" s="4">
        <v>9.0399999999999991</v>
      </c>
      <c r="J195" s="4">
        <v>5.82</v>
      </c>
      <c r="K195" s="4">
        <v>5</v>
      </c>
      <c r="L195" s="4"/>
    </row>
    <row r="196" spans="1:12" x14ac:dyDescent="0.3">
      <c r="A196" s="2" t="s">
        <v>252</v>
      </c>
      <c r="B196" s="3">
        <v>44968</v>
      </c>
      <c r="C196" s="3">
        <v>44973</v>
      </c>
      <c r="D196" s="2" t="s">
        <v>26</v>
      </c>
      <c r="E196" s="2" t="s">
        <v>18</v>
      </c>
      <c r="F196" s="2" t="s">
        <v>38</v>
      </c>
      <c r="G196" s="2">
        <v>380</v>
      </c>
      <c r="H196" s="2">
        <v>380</v>
      </c>
      <c r="I196" s="2">
        <v>10.8</v>
      </c>
      <c r="J196" s="2">
        <v>6.18</v>
      </c>
      <c r="K196" s="2">
        <v>5</v>
      </c>
      <c r="L196" s="2"/>
    </row>
    <row r="197" spans="1:12" x14ac:dyDescent="0.3">
      <c r="A197" s="4" t="s">
        <v>253</v>
      </c>
      <c r="B197" s="5">
        <v>45003</v>
      </c>
      <c r="C197" s="5">
        <v>45008</v>
      </c>
      <c r="D197" s="4" t="s">
        <v>26</v>
      </c>
      <c r="E197" s="4" t="s">
        <v>48</v>
      </c>
      <c r="F197" s="4" t="s">
        <v>38</v>
      </c>
      <c r="G197" s="4">
        <v>246</v>
      </c>
      <c r="H197" s="4">
        <v>246</v>
      </c>
      <c r="I197" s="4">
        <v>5.54</v>
      </c>
      <c r="J197" s="4">
        <v>3.69</v>
      </c>
      <c r="K197" s="4">
        <v>5</v>
      </c>
      <c r="L197" s="4">
        <v>866.5</v>
      </c>
    </row>
    <row r="198" spans="1:12" x14ac:dyDescent="0.3">
      <c r="A198" s="2" t="s">
        <v>249</v>
      </c>
      <c r="B198" s="3">
        <v>44994</v>
      </c>
      <c r="C198" s="3">
        <v>44998</v>
      </c>
      <c r="D198" s="2" t="s">
        <v>36</v>
      </c>
      <c r="E198" s="2" t="s">
        <v>14</v>
      </c>
      <c r="F198" s="2" t="s">
        <v>22</v>
      </c>
      <c r="G198" s="2">
        <v>308</v>
      </c>
      <c r="H198" s="2">
        <v>308</v>
      </c>
      <c r="I198" s="2">
        <v>12.93</v>
      </c>
      <c r="J198" s="2">
        <v>9.1999999999999993</v>
      </c>
      <c r="K198" s="2">
        <v>7</v>
      </c>
      <c r="L198" s="2"/>
    </row>
    <row r="199" spans="1:12" x14ac:dyDescent="0.3">
      <c r="A199" s="4" t="s">
        <v>254</v>
      </c>
      <c r="B199" s="5">
        <v>45038</v>
      </c>
      <c r="C199" s="5">
        <v>45039</v>
      </c>
      <c r="D199" s="4" t="s">
        <v>40</v>
      </c>
      <c r="E199" s="4" t="s">
        <v>34</v>
      </c>
      <c r="F199" s="4" t="s">
        <v>27</v>
      </c>
      <c r="G199" s="4">
        <v>236</v>
      </c>
      <c r="H199" s="4">
        <v>236</v>
      </c>
      <c r="I199" s="4">
        <v>12.57</v>
      </c>
      <c r="J199" s="4">
        <v>9.41</v>
      </c>
      <c r="K199" s="4">
        <v>4</v>
      </c>
      <c r="L199" s="4">
        <v>3243.97</v>
      </c>
    </row>
    <row r="200" spans="1:12" x14ac:dyDescent="0.3">
      <c r="A200" s="2" t="s">
        <v>255</v>
      </c>
      <c r="B200" s="3">
        <v>45073</v>
      </c>
      <c r="C200" s="3">
        <v>45075</v>
      </c>
      <c r="D200" s="2" t="s">
        <v>13</v>
      </c>
      <c r="E200" s="2" t="s">
        <v>41</v>
      </c>
      <c r="F200" s="2" t="s">
        <v>27</v>
      </c>
      <c r="G200" s="2">
        <v>348</v>
      </c>
      <c r="H200" s="2">
        <v>348</v>
      </c>
      <c r="I200" s="2">
        <v>23.75</v>
      </c>
      <c r="J200" s="2">
        <v>15.06</v>
      </c>
      <c r="K200" s="2">
        <v>4</v>
      </c>
      <c r="L200" s="2">
        <v>7838.86</v>
      </c>
    </row>
    <row r="201" spans="1:12" x14ac:dyDescent="0.3">
      <c r="A201" s="4" t="s">
        <v>252</v>
      </c>
      <c r="B201" s="5">
        <v>45119</v>
      </c>
      <c r="C201" s="5">
        <v>45121</v>
      </c>
      <c r="D201" s="4" t="s">
        <v>40</v>
      </c>
      <c r="E201" s="4" t="s">
        <v>41</v>
      </c>
      <c r="F201" s="4" t="s">
        <v>22</v>
      </c>
      <c r="G201" s="4">
        <v>354</v>
      </c>
      <c r="H201" s="4">
        <v>354</v>
      </c>
      <c r="I201" s="4">
        <v>17.420000000000002</v>
      </c>
      <c r="J201" s="4">
        <v>13.04</v>
      </c>
      <c r="K201" s="4">
        <v>4</v>
      </c>
      <c r="L201" s="4">
        <v>5243.2</v>
      </c>
    </row>
    <row r="202" spans="1:12" x14ac:dyDescent="0.3">
      <c r="A202" s="2" t="s">
        <v>256</v>
      </c>
      <c r="B202" s="3">
        <v>44938</v>
      </c>
      <c r="C202" s="3">
        <v>44944</v>
      </c>
      <c r="D202" s="2" t="s">
        <v>56</v>
      </c>
      <c r="E202" s="2" t="s">
        <v>18</v>
      </c>
      <c r="F202" s="2" t="s">
        <v>27</v>
      </c>
      <c r="G202" s="2">
        <v>364</v>
      </c>
      <c r="H202" s="2">
        <v>364</v>
      </c>
      <c r="I202" s="2">
        <v>8.44</v>
      </c>
      <c r="J202" s="2">
        <v>5.28</v>
      </c>
      <c r="K202" s="2">
        <v>2</v>
      </c>
      <c r="L202" s="2">
        <v>1994.57</v>
      </c>
    </row>
    <row r="203" spans="1:12" x14ac:dyDescent="0.3">
      <c r="A203" s="4" t="s">
        <v>257</v>
      </c>
      <c r="B203" s="5">
        <v>45068</v>
      </c>
      <c r="C203" s="5">
        <v>45074</v>
      </c>
      <c r="D203" s="4" t="s">
        <v>36</v>
      </c>
      <c r="E203" s="4" t="s">
        <v>34</v>
      </c>
      <c r="F203" s="4" t="s">
        <v>19</v>
      </c>
      <c r="G203" s="4">
        <v>77</v>
      </c>
      <c r="H203" s="4">
        <v>74</v>
      </c>
      <c r="I203" s="4">
        <v>15.77</v>
      </c>
      <c r="J203" s="4">
        <v>11.09</v>
      </c>
      <c r="K203" s="4">
        <v>7</v>
      </c>
      <c r="L203" s="4">
        <v>1221.3399999999999</v>
      </c>
    </row>
    <row r="204" spans="1:12" x14ac:dyDescent="0.3">
      <c r="A204" s="2" t="s">
        <v>258</v>
      </c>
      <c r="B204" s="3">
        <v>44961</v>
      </c>
      <c r="C204" s="3">
        <v>44962</v>
      </c>
      <c r="D204" s="2" t="s">
        <v>33</v>
      </c>
      <c r="E204" s="2" t="s">
        <v>18</v>
      </c>
      <c r="F204" s="2" t="s">
        <v>19</v>
      </c>
      <c r="G204" s="2">
        <v>248</v>
      </c>
      <c r="H204" s="2">
        <v>248</v>
      </c>
      <c r="I204" s="2">
        <v>9.7799999999999994</v>
      </c>
      <c r="J204" s="2">
        <v>5.47</v>
      </c>
      <c r="K204" s="2">
        <v>3</v>
      </c>
      <c r="L204" s="2">
        <v>1823.66</v>
      </c>
    </row>
    <row r="205" spans="1:12" x14ac:dyDescent="0.3">
      <c r="A205" s="4" t="s">
        <v>259</v>
      </c>
      <c r="B205" s="5">
        <v>45203</v>
      </c>
      <c r="C205" s="5">
        <v>45204</v>
      </c>
      <c r="D205" s="4" t="s">
        <v>40</v>
      </c>
      <c r="E205" s="4" t="s">
        <v>41</v>
      </c>
      <c r="F205" s="4" t="s">
        <v>19</v>
      </c>
      <c r="G205" s="4">
        <v>91</v>
      </c>
      <c r="H205" s="4">
        <v>91</v>
      </c>
      <c r="I205" s="4">
        <v>19.47</v>
      </c>
      <c r="J205" s="4">
        <v>13.89</v>
      </c>
      <c r="K205" s="4">
        <v>4</v>
      </c>
      <c r="L205" s="4">
        <v>1692.37</v>
      </c>
    </row>
    <row r="206" spans="1:12" x14ac:dyDescent="0.3">
      <c r="A206" s="2" t="s">
        <v>260</v>
      </c>
      <c r="B206" s="3">
        <v>45271</v>
      </c>
      <c r="C206" s="3">
        <v>45273</v>
      </c>
      <c r="D206" s="2" t="s">
        <v>29</v>
      </c>
      <c r="E206" s="2" t="s">
        <v>48</v>
      </c>
      <c r="F206" s="2" t="s">
        <v>38</v>
      </c>
      <c r="G206" s="2">
        <v>174</v>
      </c>
      <c r="H206" s="2">
        <v>174</v>
      </c>
      <c r="I206" s="2">
        <v>8.35</v>
      </c>
      <c r="J206" s="2">
        <v>5.46</v>
      </c>
      <c r="K206" s="2">
        <v>6</v>
      </c>
      <c r="L206" s="2">
        <v>1090.78</v>
      </c>
    </row>
    <row r="207" spans="1:12" x14ac:dyDescent="0.3">
      <c r="A207" s="4" t="s">
        <v>257</v>
      </c>
      <c r="B207" s="5">
        <v>45229</v>
      </c>
      <c r="C207" s="5">
        <v>45230</v>
      </c>
      <c r="D207" s="4" t="s">
        <v>50</v>
      </c>
      <c r="E207" s="4" t="s">
        <v>14</v>
      </c>
      <c r="F207" s="4" t="s">
        <v>38</v>
      </c>
      <c r="G207" s="4">
        <v>340</v>
      </c>
      <c r="H207" s="4">
        <v>340</v>
      </c>
      <c r="I207" s="4">
        <v>13.6</v>
      </c>
      <c r="J207" s="4">
        <v>7.61</v>
      </c>
      <c r="K207" s="4">
        <v>3</v>
      </c>
      <c r="L207" s="4">
        <v>2863.34</v>
      </c>
    </row>
    <row r="208" spans="1:12" x14ac:dyDescent="0.3">
      <c r="A208" s="2" t="s">
        <v>261</v>
      </c>
      <c r="B208" s="3">
        <v>45283</v>
      </c>
      <c r="C208" s="3">
        <v>45285</v>
      </c>
      <c r="D208" s="2" t="s">
        <v>40</v>
      </c>
      <c r="E208" s="2" t="s">
        <v>48</v>
      </c>
      <c r="F208" s="2" t="s">
        <v>15</v>
      </c>
      <c r="G208" s="2">
        <v>173</v>
      </c>
      <c r="H208" s="2">
        <v>173</v>
      </c>
      <c r="I208" s="2">
        <v>7.52</v>
      </c>
      <c r="J208" s="2">
        <v>4.8499999999999996</v>
      </c>
      <c r="K208" s="2">
        <v>4</v>
      </c>
      <c r="L208" s="2">
        <v>1182.73</v>
      </c>
    </row>
    <row r="209" spans="1:12" x14ac:dyDescent="0.3">
      <c r="A209" s="4" t="s">
        <v>262</v>
      </c>
      <c r="B209" s="5">
        <v>44956</v>
      </c>
      <c r="C209" s="5">
        <v>44958</v>
      </c>
      <c r="D209" s="4" t="s">
        <v>50</v>
      </c>
      <c r="E209" s="4" t="s">
        <v>18</v>
      </c>
      <c r="F209" s="4" t="s">
        <v>22</v>
      </c>
      <c r="G209" s="4">
        <v>305</v>
      </c>
      <c r="H209" s="4">
        <v>305</v>
      </c>
      <c r="I209" s="4">
        <v>8.26</v>
      </c>
      <c r="J209" s="4">
        <v>4.96</v>
      </c>
      <c r="K209" s="4">
        <v>3</v>
      </c>
      <c r="L209" s="4">
        <v>1661.29</v>
      </c>
    </row>
    <row r="210" spans="1:12" x14ac:dyDescent="0.3">
      <c r="A210" s="2" t="s">
        <v>263</v>
      </c>
      <c r="B210" s="3">
        <v>44974</v>
      </c>
      <c r="C210" s="3">
        <v>44976</v>
      </c>
      <c r="D210" s="2" t="s">
        <v>13</v>
      </c>
      <c r="E210" s="2" t="s">
        <v>41</v>
      </c>
      <c r="F210" s="2" t="s">
        <v>15</v>
      </c>
      <c r="G210" s="2">
        <v>46</v>
      </c>
      <c r="H210" s="2">
        <v>46</v>
      </c>
      <c r="I210" s="2">
        <v>24.08</v>
      </c>
      <c r="J210" s="2">
        <v>16.149999999999999</v>
      </c>
      <c r="K210" s="2">
        <v>4</v>
      </c>
      <c r="L210" s="2">
        <v>1058.02</v>
      </c>
    </row>
    <row r="211" spans="1:12" x14ac:dyDescent="0.3">
      <c r="A211" s="4" t="s">
        <v>264</v>
      </c>
      <c r="B211" s="5">
        <v>45038</v>
      </c>
      <c r="C211" s="5">
        <v>45041</v>
      </c>
      <c r="D211" s="4" t="s">
        <v>127</v>
      </c>
      <c r="E211" s="4" t="s">
        <v>48</v>
      </c>
      <c r="F211" s="4" t="s">
        <v>38</v>
      </c>
      <c r="G211" s="4">
        <v>175</v>
      </c>
      <c r="H211" s="4">
        <v>175</v>
      </c>
      <c r="I211" s="4">
        <v>4.8600000000000003</v>
      </c>
      <c r="J211" s="4">
        <v>3.58</v>
      </c>
      <c r="K211" s="4">
        <v>5</v>
      </c>
      <c r="L211" s="4">
        <v>925.49</v>
      </c>
    </row>
    <row r="212" spans="1:12" x14ac:dyDescent="0.3">
      <c r="A212" s="2" t="s">
        <v>265</v>
      </c>
      <c r="B212" s="3">
        <v>45283</v>
      </c>
      <c r="C212" s="3">
        <v>45285</v>
      </c>
      <c r="D212" s="2" t="s">
        <v>13</v>
      </c>
      <c r="E212" s="2" t="s">
        <v>41</v>
      </c>
      <c r="F212" s="2" t="s">
        <v>19</v>
      </c>
      <c r="G212" s="2">
        <v>223</v>
      </c>
      <c r="H212" s="2">
        <v>223</v>
      </c>
      <c r="I212" s="2">
        <v>22.62</v>
      </c>
      <c r="J212" s="2">
        <v>15.95</v>
      </c>
      <c r="K212" s="2">
        <v>4</v>
      </c>
      <c r="L212" s="2">
        <v>4013.54</v>
      </c>
    </row>
    <row r="213" spans="1:12" x14ac:dyDescent="0.3">
      <c r="A213" s="4" t="s">
        <v>266</v>
      </c>
      <c r="B213" s="5">
        <v>45111</v>
      </c>
      <c r="C213" s="5">
        <v>45115</v>
      </c>
      <c r="D213" s="4" t="s">
        <v>29</v>
      </c>
      <c r="E213" s="4" t="s">
        <v>34</v>
      </c>
      <c r="F213" s="4" t="s">
        <v>15</v>
      </c>
      <c r="G213" s="4">
        <v>258</v>
      </c>
      <c r="H213" s="4">
        <v>258</v>
      </c>
      <c r="I213" s="4" t="s">
        <v>267</v>
      </c>
      <c r="J213" s="4">
        <v>13.41</v>
      </c>
      <c r="K213" s="4">
        <v>6</v>
      </c>
      <c r="L213" s="4">
        <v>4856.97</v>
      </c>
    </row>
    <row r="214" spans="1:12" x14ac:dyDescent="0.3">
      <c r="A214" s="2" t="s">
        <v>268</v>
      </c>
      <c r="B214" s="3">
        <v>45138</v>
      </c>
      <c r="C214" s="3">
        <v>45140</v>
      </c>
      <c r="D214" s="2" t="s">
        <v>26</v>
      </c>
      <c r="E214" s="2" t="s">
        <v>34</v>
      </c>
      <c r="F214" s="2" t="s">
        <v>15</v>
      </c>
      <c r="G214" s="2">
        <v>399</v>
      </c>
      <c r="H214" s="2">
        <v>399</v>
      </c>
      <c r="I214" s="2" t="s">
        <v>269</v>
      </c>
      <c r="J214" s="2">
        <v>10.58</v>
      </c>
      <c r="K214" s="2">
        <v>5</v>
      </c>
      <c r="L214" s="2">
        <v>5266.16</v>
      </c>
    </row>
    <row r="215" spans="1:12" x14ac:dyDescent="0.3">
      <c r="A215" s="4" t="s">
        <v>270</v>
      </c>
      <c r="B215" s="5">
        <v>45027</v>
      </c>
      <c r="C215" s="5">
        <v>45031</v>
      </c>
      <c r="D215" s="4" t="s">
        <v>40</v>
      </c>
      <c r="E215" s="4" t="s">
        <v>34</v>
      </c>
      <c r="F215" s="4" t="s">
        <v>19</v>
      </c>
      <c r="G215" s="4">
        <v>311</v>
      </c>
      <c r="H215" s="4">
        <v>311</v>
      </c>
      <c r="I215" s="4">
        <v>16.489999999999998</v>
      </c>
      <c r="J215" s="4">
        <v>11.23</v>
      </c>
      <c r="K215" s="4">
        <v>4</v>
      </c>
      <c r="L215" s="4">
        <v>4578.3900000000003</v>
      </c>
    </row>
    <row r="216" spans="1:12" x14ac:dyDescent="0.3">
      <c r="A216" s="2" t="s">
        <v>271</v>
      </c>
      <c r="B216" s="3">
        <v>45162</v>
      </c>
      <c r="C216" s="3">
        <v>45164</v>
      </c>
      <c r="D216" s="2" t="s">
        <v>62</v>
      </c>
      <c r="E216" s="2" t="s">
        <v>41</v>
      </c>
      <c r="F216" s="2" t="s">
        <v>22</v>
      </c>
      <c r="G216" s="2">
        <v>106</v>
      </c>
      <c r="H216" s="2">
        <v>106</v>
      </c>
      <c r="I216" s="2">
        <v>22.56</v>
      </c>
      <c r="J216" s="2">
        <v>13.24</v>
      </c>
      <c r="K216" s="2">
        <v>3</v>
      </c>
      <c r="L216" s="2">
        <v>2012</v>
      </c>
    </row>
    <row r="217" spans="1:12" x14ac:dyDescent="0.3">
      <c r="A217" s="4" t="s">
        <v>272</v>
      </c>
      <c r="B217" s="5">
        <v>44965</v>
      </c>
      <c r="C217" s="5">
        <v>44974</v>
      </c>
      <c r="D217" s="4" t="s">
        <v>33</v>
      </c>
      <c r="E217" s="4" t="s">
        <v>48</v>
      </c>
      <c r="F217" s="4" t="s">
        <v>27</v>
      </c>
      <c r="G217" s="4">
        <v>44</v>
      </c>
      <c r="H217" s="4">
        <v>44</v>
      </c>
      <c r="I217" s="4">
        <v>6.28</v>
      </c>
      <c r="J217" s="4">
        <v>4.51</v>
      </c>
      <c r="K217" s="4">
        <v>3</v>
      </c>
      <c r="L217" s="4">
        <v>206.15</v>
      </c>
    </row>
    <row r="218" spans="1:12" x14ac:dyDescent="0.3">
      <c r="A218" s="2" t="s">
        <v>273</v>
      </c>
      <c r="B218" s="3">
        <v>45185</v>
      </c>
      <c r="C218" s="3">
        <v>45186</v>
      </c>
      <c r="D218" s="2" t="s">
        <v>56</v>
      </c>
      <c r="E218" s="2" t="s">
        <v>14</v>
      </c>
      <c r="F218" s="2" t="s">
        <v>19</v>
      </c>
      <c r="G218" s="2">
        <v>336</v>
      </c>
      <c r="H218" s="2">
        <v>336</v>
      </c>
      <c r="I218" s="2">
        <v>16.32</v>
      </c>
      <c r="J218" s="2">
        <v>11.96</v>
      </c>
      <c r="K218" s="2">
        <v>2</v>
      </c>
      <c r="L218" s="2">
        <v>5206.33</v>
      </c>
    </row>
    <row r="219" spans="1:12" x14ac:dyDescent="0.3">
      <c r="A219" s="4" t="s">
        <v>274</v>
      </c>
      <c r="B219" s="5">
        <v>45209</v>
      </c>
      <c r="C219" s="5">
        <v>45210</v>
      </c>
      <c r="D219" s="4" t="s">
        <v>33</v>
      </c>
      <c r="E219" s="4" t="s">
        <v>14</v>
      </c>
      <c r="F219" s="4" t="s">
        <v>38</v>
      </c>
      <c r="G219" s="4">
        <v>291</v>
      </c>
      <c r="H219" s="4">
        <v>291</v>
      </c>
      <c r="I219" s="4">
        <v>13.46</v>
      </c>
      <c r="J219" s="4">
        <v>8.17</v>
      </c>
      <c r="K219" s="4">
        <v>3</v>
      </c>
      <c r="L219" s="4">
        <v>2856.13</v>
      </c>
    </row>
    <row r="220" spans="1:12" x14ac:dyDescent="0.3">
      <c r="A220" s="2" t="s">
        <v>275</v>
      </c>
      <c r="B220" s="3">
        <v>44976</v>
      </c>
      <c r="C220" s="3">
        <v>44978</v>
      </c>
      <c r="D220" s="2" t="s">
        <v>40</v>
      </c>
      <c r="E220" s="2" t="s">
        <v>18</v>
      </c>
      <c r="F220" s="2" t="s">
        <v>27</v>
      </c>
      <c r="G220" s="2">
        <v>118</v>
      </c>
      <c r="H220" s="2">
        <v>118</v>
      </c>
      <c r="I220" s="2">
        <v>7.61</v>
      </c>
      <c r="J220" s="2">
        <v>4.72</v>
      </c>
      <c r="K220" s="2">
        <v>4</v>
      </c>
      <c r="L220" s="2">
        <v>766.91</v>
      </c>
    </row>
    <row r="221" spans="1:12" x14ac:dyDescent="0.3">
      <c r="A221" s="4" t="s">
        <v>276</v>
      </c>
      <c r="B221" s="5">
        <v>45162</v>
      </c>
      <c r="C221" s="5">
        <v>45164</v>
      </c>
      <c r="D221" s="4" t="s">
        <v>13</v>
      </c>
      <c r="E221" s="4" t="s">
        <v>34</v>
      </c>
      <c r="F221" s="4" t="s">
        <v>22</v>
      </c>
      <c r="G221" s="4">
        <v>173</v>
      </c>
      <c r="H221" s="4">
        <v>173</v>
      </c>
      <c r="I221" s="4">
        <v>19.63</v>
      </c>
      <c r="J221" s="4">
        <v>13.36</v>
      </c>
      <c r="K221" s="4">
        <v>4</v>
      </c>
      <c r="L221" s="4">
        <v>3270.3</v>
      </c>
    </row>
    <row r="222" spans="1:12" x14ac:dyDescent="0.3">
      <c r="A222" s="2" t="s">
        <v>277</v>
      </c>
      <c r="B222" s="3">
        <v>45121</v>
      </c>
      <c r="C222" s="3">
        <v>45123</v>
      </c>
      <c r="D222" s="2" t="s">
        <v>33</v>
      </c>
      <c r="E222" s="2" t="s">
        <v>14</v>
      </c>
      <c r="F222" s="2" t="s">
        <v>22</v>
      </c>
      <c r="G222" s="2">
        <v>48</v>
      </c>
      <c r="H222" s="2">
        <v>48</v>
      </c>
      <c r="I222" s="2">
        <v>14.66</v>
      </c>
      <c r="J222" s="2">
        <v>8.31</v>
      </c>
      <c r="K222" s="2">
        <v>3</v>
      </c>
      <c r="L222" s="2">
        <v>561.29999999999995</v>
      </c>
    </row>
    <row r="223" spans="1:12" x14ac:dyDescent="0.3">
      <c r="A223" s="4" t="s">
        <v>278</v>
      </c>
      <c r="B223" s="5">
        <v>45197</v>
      </c>
      <c r="C223" s="5">
        <v>45199</v>
      </c>
      <c r="D223" s="4" t="s">
        <v>29</v>
      </c>
      <c r="E223" s="4" t="s">
        <v>48</v>
      </c>
      <c r="F223" s="4" t="s">
        <v>27</v>
      </c>
      <c r="G223" s="4">
        <v>128</v>
      </c>
      <c r="H223" s="4">
        <v>128</v>
      </c>
      <c r="I223" s="4">
        <v>7.29</v>
      </c>
      <c r="J223" s="4">
        <v>4.84</v>
      </c>
      <c r="K223" s="4">
        <v>6</v>
      </c>
      <c r="L223" s="4">
        <v>658.34</v>
      </c>
    </row>
    <row r="224" spans="1:12" x14ac:dyDescent="0.3">
      <c r="A224" s="2" t="s">
        <v>279</v>
      </c>
      <c r="B224" s="3">
        <v>45215</v>
      </c>
      <c r="C224" s="3">
        <v>45217</v>
      </c>
      <c r="D224" s="2" t="s">
        <v>13</v>
      </c>
      <c r="E224" s="2" t="s">
        <v>34</v>
      </c>
      <c r="F224" s="2" t="s">
        <v>38</v>
      </c>
      <c r="G224" s="2">
        <v>181</v>
      </c>
      <c r="H224" s="2">
        <v>139</v>
      </c>
      <c r="I224" s="2">
        <v>17.28</v>
      </c>
      <c r="J224" s="2">
        <v>12.1</v>
      </c>
      <c r="K224" s="2">
        <v>4</v>
      </c>
      <c r="L224" s="2">
        <v>2907.64</v>
      </c>
    </row>
    <row r="225" spans="1:12" x14ac:dyDescent="0.3">
      <c r="A225" s="4" t="s">
        <v>280</v>
      </c>
      <c r="B225" s="5">
        <v>45010</v>
      </c>
      <c r="C225" s="5">
        <v>45014</v>
      </c>
      <c r="D225" s="4" t="s">
        <v>40</v>
      </c>
      <c r="E225" s="4" t="s">
        <v>14</v>
      </c>
      <c r="F225" s="4" t="s">
        <v>15</v>
      </c>
      <c r="G225" s="4">
        <v>366</v>
      </c>
      <c r="H225" s="4">
        <v>366</v>
      </c>
      <c r="I225" s="4">
        <v>11.99</v>
      </c>
      <c r="J225" s="4">
        <v>8.41</v>
      </c>
      <c r="K225" s="4">
        <v>4</v>
      </c>
      <c r="L225" s="4">
        <v>3028.72</v>
      </c>
    </row>
    <row r="226" spans="1:12" x14ac:dyDescent="0.3">
      <c r="A226" s="2" t="s">
        <v>281</v>
      </c>
      <c r="B226" s="3">
        <v>44954</v>
      </c>
      <c r="C226" s="3">
        <v>44956</v>
      </c>
      <c r="D226" s="2" t="s">
        <v>13</v>
      </c>
      <c r="E226" s="2" t="s">
        <v>48</v>
      </c>
      <c r="F226" s="2" t="s">
        <v>15</v>
      </c>
      <c r="G226" s="2">
        <v>58</v>
      </c>
      <c r="H226" s="2">
        <v>58</v>
      </c>
      <c r="I226" s="2">
        <v>7.57</v>
      </c>
      <c r="J226" s="2">
        <v>5.61</v>
      </c>
      <c r="K226" s="2">
        <v>4</v>
      </c>
      <c r="L226" s="2">
        <v>370.29</v>
      </c>
    </row>
    <row r="227" spans="1:12" x14ac:dyDescent="0.3">
      <c r="A227" s="4" t="s">
        <v>282</v>
      </c>
      <c r="B227" s="5">
        <v>45157</v>
      </c>
      <c r="C227" s="5">
        <v>45160</v>
      </c>
      <c r="D227" s="4" t="s">
        <v>29</v>
      </c>
      <c r="E227" s="4" t="s">
        <v>14</v>
      </c>
      <c r="F227" s="4" t="s">
        <v>15</v>
      </c>
      <c r="G227" s="4">
        <v>303</v>
      </c>
      <c r="H227" s="4">
        <v>303</v>
      </c>
      <c r="I227" s="4">
        <v>12.71</v>
      </c>
      <c r="J227" s="4">
        <v>8.7200000000000006</v>
      </c>
      <c r="K227" s="4">
        <v>6</v>
      </c>
      <c r="L227" s="4">
        <v>3425.3</v>
      </c>
    </row>
    <row r="228" spans="1:12" x14ac:dyDescent="0.3">
      <c r="A228" s="2" t="s">
        <v>283</v>
      </c>
      <c r="B228" s="3">
        <v>45053</v>
      </c>
      <c r="C228" s="3">
        <v>45054</v>
      </c>
      <c r="D228" s="2" t="s">
        <v>284</v>
      </c>
      <c r="E228" s="2" t="s">
        <v>48</v>
      </c>
      <c r="F228" s="2" t="s">
        <v>15</v>
      </c>
      <c r="G228" s="2">
        <v>157</v>
      </c>
      <c r="H228" s="2">
        <v>157</v>
      </c>
      <c r="I228" s="2">
        <v>7.36</v>
      </c>
      <c r="J228" s="2">
        <v>4.9800000000000004</v>
      </c>
      <c r="K228" s="2">
        <v>4</v>
      </c>
      <c r="L228" s="2">
        <v>1050.6600000000001</v>
      </c>
    </row>
    <row r="229" spans="1:12" x14ac:dyDescent="0.3">
      <c r="A229" s="4" t="s">
        <v>285</v>
      </c>
      <c r="B229" s="5">
        <v>44973</v>
      </c>
      <c r="C229" s="5">
        <v>44976</v>
      </c>
      <c r="D229" s="4" t="s">
        <v>29</v>
      </c>
      <c r="E229" s="4" t="s">
        <v>34</v>
      </c>
      <c r="F229" s="4" t="s">
        <v>27</v>
      </c>
      <c r="G229" s="4">
        <v>247</v>
      </c>
      <c r="H229" s="4">
        <v>247</v>
      </c>
      <c r="I229" s="4">
        <v>14.43</v>
      </c>
      <c r="J229" s="4">
        <v>8.32</v>
      </c>
      <c r="K229" s="4">
        <v>6</v>
      </c>
      <c r="L229" s="4">
        <v>2080.59</v>
      </c>
    </row>
    <row r="230" spans="1:12" x14ac:dyDescent="0.3">
      <c r="A230" s="2" t="s">
        <v>286</v>
      </c>
      <c r="B230" s="3">
        <v>45189</v>
      </c>
      <c r="C230" s="3">
        <v>45190</v>
      </c>
      <c r="D230" s="2" t="s">
        <v>101</v>
      </c>
      <c r="E230" s="2" t="s">
        <v>48</v>
      </c>
      <c r="F230" s="2" t="s">
        <v>38</v>
      </c>
      <c r="G230" s="2">
        <v>65</v>
      </c>
      <c r="H230" s="2">
        <v>65</v>
      </c>
      <c r="I230" s="2">
        <v>5.14</v>
      </c>
      <c r="J230" s="2">
        <v>3.44</v>
      </c>
      <c r="K230" s="2">
        <v>7</v>
      </c>
      <c r="L230" s="2">
        <v>244.77</v>
      </c>
    </row>
    <row r="231" spans="1:12" x14ac:dyDescent="0.3">
      <c r="A231" s="4" t="s">
        <v>287</v>
      </c>
      <c r="B231" s="5">
        <v>45138</v>
      </c>
      <c r="C231" s="5">
        <v>45139</v>
      </c>
      <c r="D231" s="4" t="s">
        <v>40</v>
      </c>
      <c r="E231" s="4" t="s">
        <v>14</v>
      </c>
      <c r="F231" s="4" t="s">
        <v>15</v>
      </c>
      <c r="G231" s="4">
        <v>391</v>
      </c>
      <c r="H231" s="4">
        <v>391</v>
      </c>
      <c r="I231" s="4">
        <v>16.12</v>
      </c>
      <c r="J231" s="4">
        <v>12.02</v>
      </c>
      <c r="K231" s="4">
        <v>4</v>
      </c>
      <c r="L231" s="4">
        <v>5842.7</v>
      </c>
    </row>
    <row r="232" spans="1:12" x14ac:dyDescent="0.3">
      <c r="A232" s="2" t="s">
        <v>288</v>
      </c>
      <c r="B232" s="3">
        <v>44998</v>
      </c>
      <c r="C232" s="3">
        <v>45000</v>
      </c>
      <c r="D232" s="2" t="s">
        <v>56</v>
      </c>
      <c r="E232" s="2" t="s">
        <v>41</v>
      </c>
      <c r="F232" s="2"/>
      <c r="G232" s="2">
        <v>272</v>
      </c>
      <c r="H232" s="2">
        <v>272</v>
      </c>
      <c r="I232" s="2">
        <v>18.010000000000002</v>
      </c>
      <c r="J232" s="2">
        <v>10.9</v>
      </c>
      <c r="K232" s="2">
        <v>2</v>
      </c>
      <c r="L232" s="2">
        <v>3201.54</v>
      </c>
    </row>
    <row r="233" spans="1:12" x14ac:dyDescent="0.3">
      <c r="A233" s="4" t="s">
        <v>289</v>
      </c>
      <c r="B233" s="5">
        <v>45053</v>
      </c>
      <c r="C233" s="5">
        <v>45057</v>
      </c>
      <c r="D233" s="4" t="s">
        <v>13</v>
      </c>
      <c r="E233" s="4" t="s">
        <v>34</v>
      </c>
      <c r="F233" s="4" t="s">
        <v>15</v>
      </c>
      <c r="G233" s="4">
        <v>324</v>
      </c>
      <c r="H233" s="4">
        <v>324</v>
      </c>
      <c r="I233" s="4">
        <v>16.12</v>
      </c>
      <c r="J233" s="4">
        <v>9.3000000000000007</v>
      </c>
      <c r="K233" s="4">
        <v>4</v>
      </c>
      <c r="L233" s="4">
        <v>2724.11</v>
      </c>
    </row>
    <row r="234" spans="1:12" x14ac:dyDescent="0.3">
      <c r="A234" s="2" t="s">
        <v>290</v>
      </c>
      <c r="B234" s="3">
        <v>45121</v>
      </c>
      <c r="C234" s="3">
        <v>45124</v>
      </c>
      <c r="D234" s="2" t="s">
        <v>118</v>
      </c>
      <c r="E234" s="2" t="s">
        <v>34</v>
      </c>
      <c r="F234" s="2" t="s">
        <v>38</v>
      </c>
      <c r="G234" s="2">
        <v>245</v>
      </c>
      <c r="H234" s="2">
        <v>245</v>
      </c>
      <c r="I234" s="2">
        <v>19.34</v>
      </c>
      <c r="J234" s="2">
        <v>13.96</v>
      </c>
      <c r="K234" s="2">
        <v>4</v>
      </c>
      <c r="L234" s="2">
        <v>5077.41</v>
      </c>
    </row>
    <row r="235" spans="1:12" x14ac:dyDescent="0.3">
      <c r="A235" s="4" t="s">
        <v>291</v>
      </c>
      <c r="B235" s="5">
        <v>45235</v>
      </c>
      <c r="C235" s="5">
        <v>45236</v>
      </c>
      <c r="D235" s="4" t="s">
        <v>56</v>
      </c>
      <c r="E235" s="4" t="s">
        <v>34</v>
      </c>
      <c r="F235" s="4" t="s">
        <v>15</v>
      </c>
      <c r="G235" s="4">
        <v>265</v>
      </c>
      <c r="H235" s="4">
        <v>265</v>
      </c>
      <c r="I235" s="4">
        <v>20.68</v>
      </c>
      <c r="J235" s="4">
        <v>15.38</v>
      </c>
      <c r="K235" s="4">
        <v>2</v>
      </c>
      <c r="L235" s="4">
        <v>4380.84</v>
      </c>
    </row>
    <row r="236" spans="1:12" x14ac:dyDescent="0.3">
      <c r="A236" s="2" t="s">
        <v>292</v>
      </c>
      <c r="B236" s="3">
        <v>45093</v>
      </c>
      <c r="C236" s="3">
        <v>45100</v>
      </c>
      <c r="D236" s="2" t="s">
        <v>36</v>
      </c>
      <c r="E236" s="2" t="s">
        <v>48</v>
      </c>
      <c r="F236" s="2" t="s">
        <v>19</v>
      </c>
      <c r="G236" s="2">
        <v>221</v>
      </c>
      <c r="H236" s="2">
        <v>248</v>
      </c>
      <c r="I236" s="2">
        <v>8.16</v>
      </c>
      <c r="J236" s="2">
        <v>4.8099999999999996</v>
      </c>
      <c r="K236" s="2">
        <v>7</v>
      </c>
      <c r="L236" s="2">
        <v>1592.77</v>
      </c>
    </row>
    <row r="237" spans="1:12" x14ac:dyDescent="0.3">
      <c r="A237" s="4" t="s">
        <v>293</v>
      </c>
      <c r="B237" s="5">
        <v>45163</v>
      </c>
      <c r="C237" s="5">
        <v>45164</v>
      </c>
      <c r="D237" s="4" t="s">
        <v>56</v>
      </c>
      <c r="E237" s="4" t="s">
        <v>48</v>
      </c>
      <c r="F237" s="4" t="s">
        <v>27</v>
      </c>
      <c r="G237" s="4">
        <v>244</v>
      </c>
      <c r="H237" s="4">
        <v>244</v>
      </c>
      <c r="I237" s="4">
        <v>7.79</v>
      </c>
      <c r="J237" s="4">
        <v>4.3899999999999997</v>
      </c>
      <c r="K237" s="4">
        <v>2</v>
      </c>
      <c r="L237" s="4">
        <v>1508.91</v>
      </c>
    </row>
    <row r="238" spans="1:12" x14ac:dyDescent="0.3">
      <c r="A238" s="2" t="s">
        <v>294</v>
      </c>
      <c r="B238" s="3">
        <v>45251</v>
      </c>
      <c r="C238" s="3">
        <v>45254</v>
      </c>
      <c r="D238" s="2" t="s">
        <v>40</v>
      </c>
      <c r="E238" s="2" t="s">
        <v>41</v>
      </c>
      <c r="F238" s="2" t="s">
        <v>19</v>
      </c>
      <c r="G238" s="2">
        <v>357</v>
      </c>
      <c r="H238" s="2">
        <v>357</v>
      </c>
      <c r="I238" s="2">
        <v>21.08</v>
      </c>
      <c r="J238" s="2">
        <v>13.18</v>
      </c>
      <c r="K238" s="2">
        <v>4</v>
      </c>
      <c r="L238" s="2">
        <v>5502.52</v>
      </c>
    </row>
    <row r="239" spans="1:12" x14ac:dyDescent="0.3">
      <c r="A239" s="4" t="s">
        <v>295</v>
      </c>
      <c r="B239" s="5">
        <v>45200</v>
      </c>
      <c r="C239" s="5">
        <v>45207</v>
      </c>
      <c r="D239" s="4" t="s">
        <v>36</v>
      </c>
      <c r="E239" s="4" t="s">
        <v>48</v>
      </c>
      <c r="F239" s="4" t="s">
        <v>22</v>
      </c>
      <c r="G239" s="4">
        <v>374</v>
      </c>
      <c r="H239" s="4">
        <v>374</v>
      </c>
      <c r="I239" s="4">
        <v>4.93</v>
      </c>
      <c r="J239" s="4">
        <v>3.67</v>
      </c>
      <c r="K239" s="4">
        <v>7</v>
      </c>
      <c r="L239" s="4">
        <v>1813.15</v>
      </c>
    </row>
    <row r="240" spans="1:12" x14ac:dyDescent="0.3">
      <c r="A240" s="2" t="s">
        <v>296</v>
      </c>
      <c r="B240" s="3">
        <v>45263</v>
      </c>
      <c r="C240" s="3">
        <v>45265</v>
      </c>
      <c r="D240" s="2" t="s">
        <v>13</v>
      </c>
      <c r="E240" s="2" t="s">
        <v>14</v>
      </c>
      <c r="F240" s="2" t="s">
        <v>19</v>
      </c>
      <c r="G240" s="2">
        <v>351</v>
      </c>
      <c r="H240" s="2">
        <v>351</v>
      </c>
      <c r="I240" s="2" t="s">
        <v>297</v>
      </c>
      <c r="J240" s="2">
        <v>9.2799999999999994</v>
      </c>
      <c r="K240" s="2">
        <v>4</v>
      </c>
      <c r="L240" s="2">
        <v>4195.53</v>
      </c>
    </row>
    <row r="241" spans="1:12" x14ac:dyDescent="0.3">
      <c r="A241" s="4" t="s">
        <v>298</v>
      </c>
      <c r="B241" s="5">
        <v>44932</v>
      </c>
      <c r="C241" s="5">
        <v>44934</v>
      </c>
      <c r="D241" s="4" t="s">
        <v>29</v>
      </c>
      <c r="E241" s="4" t="s">
        <v>41</v>
      </c>
      <c r="F241" s="4" t="s">
        <v>27</v>
      </c>
      <c r="G241" s="4">
        <v>281</v>
      </c>
      <c r="H241" s="4">
        <v>281</v>
      </c>
      <c r="I241" s="4">
        <v>22.7</v>
      </c>
      <c r="J241" s="4">
        <v>15.61</v>
      </c>
      <c r="K241" s="4">
        <v>6</v>
      </c>
      <c r="L241" s="4">
        <v>4529.49</v>
      </c>
    </row>
    <row r="242" spans="1:12" x14ac:dyDescent="0.3">
      <c r="A242" s="2" t="s">
        <v>299</v>
      </c>
      <c r="B242" s="3">
        <v>45274</v>
      </c>
      <c r="C242" s="3">
        <v>45279</v>
      </c>
      <c r="D242" s="2" t="s">
        <v>29</v>
      </c>
      <c r="E242" s="2" t="s">
        <v>41</v>
      </c>
      <c r="F242" s="2" t="s">
        <v>22</v>
      </c>
      <c r="G242" s="2">
        <v>97</v>
      </c>
      <c r="H242" s="2">
        <v>97</v>
      </c>
      <c r="I242" s="2">
        <v>16.29</v>
      </c>
      <c r="J242" s="2">
        <v>9.3000000000000007</v>
      </c>
      <c r="K242" s="2">
        <v>6</v>
      </c>
      <c r="L242" s="2">
        <v>1037.04</v>
      </c>
    </row>
    <row r="243" spans="1:12" x14ac:dyDescent="0.3">
      <c r="A243" s="4" t="s">
        <v>300</v>
      </c>
      <c r="B243" s="5">
        <v>45105</v>
      </c>
      <c r="C243" s="5">
        <v>45109</v>
      </c>
      <c r="D243" s="4" t="s">
        <v>13</v>
      </c>
      <c r="E243" s="4" t="s">
        <v>14</v>
      </c>
      <c r="F243" s="4" t="s">
        <v>19</v>
      </c>
      <c r="G243" s="4">
        <v>125</v>
      </c>
      <c r="H243" s="4">
        <v>125</v>
      </c>
      <c r="I243" s="4">
        <v>12.11</v>
      </c>
      <c r="J243" s="4">
        <v>6.9</v>
      </c>
      <c r="K243" s="4">
        <v>4</v>
      </c>
      <c r="L243" s="4">
        <v>1149.8800000000001</v>
      </c>
    </row>
    <row r="244" spans="1:12" x14ac:dyDescent="0.3">
      <c r="A244" s="2" t="s">
        <v>301</v>
      </c>
      <c r="B244" s="3">
        <v>45080</v>
      </c>
      <c r="C244" s="3">
        <v>45086</v>
      </c>
      <c r="D244" s="2" t="s">
        <v>36</v>
      </c>
      <c r="E244" s="2" t="s">
        <v>34</v>
      </c>
      <c r="F244" s="2" t="s">
        <v>27</v>
      </c>
      <c r="G244" s="2">
        <v>78</v>
      </c>
      <c r="H244" s="2">
        <v>64</v>
      </c>
      <c r="I244" s="2">
        <v>17.829999999999998</v>
      </c>
      <c r="J244" s="2">
        <v>12.22</v>
      </c>
      <c r="K244" s="2">
        <v>7</v>
      </c>
      <c r="L244" s="2">
        <v>951.84</v>
      </c>
    </row>
    <row r="245" spans="1:12" x14ac:dyDescent="0.3">
      <c r="A245" s="4" t="s">
        <v>302</v>
      </c>
      <c r="B245" s="5">
        <v>45209</v>
      </c>
      <c r="C245" s="5">
        <v>45214</v>
      </c>
      <c r="D245" s="4" t="s">
        <v>213</v>
      </c>
      <c r="E245" s="4" t="s">
        <v>48</v>
      </c>
      <c r="F245" s="4" t="s">
        <v>19</v>
      </c>
      <c r="G245" s="4">
        <v>238</v>
      </c>
      <c r="H245" s="4">
        <v>238</v>
      </c>
      <c r="I245" s="4">
        <v>5.63</v>
      </c>
      <c r="J245" s="4">
        <v>3.55</v>
      </c>
      <c r="K245" s="4">
        <v>5</v>
      </c>
      <c r="L245" s="4">
        <v>853.92</v>
      </c>
    </row>
    <row r="246" spans="1:12" x14ac:dyDescent="0.3">
      <c r="A246" s="2" t="s">
        <v>303</v>
      </c>
      <c r="B246" s="3">
        <v>45241</v>
      </c>
      <c r="C246" s="3">
        <v>45245</v>
      </c>
      <c r="D246" s="2" t="s">
        <v>40</v>
      </c>
      <c r="E246" s="2" t="s">
        <v>41</v>
      </c>
      <c r="F246" s="2" t="s">
        <v>27</v>
      </c>
      <c r="G246" s="2">
        <v>323</v>
      </c>
      <c r="H246" s="2">
        <v>323</v>
      </c>
      <c r="I246" s="2">
        <v>16.05</v>
      </c>
      <c r="J246" s="2">
        <v>9.52</v>
      </c>
      <c r="K246" s="2">
        <v>4</v>
      </c>
      <c r="L246" s="2">
        <v>3281</v>
      </c>
    </row>
    <row r="247" spans="1:12" x14ac:dyDescent="0.3">
      <c r="A247" s="4" t="s">
        <v>304</v>
      </c>
      <c r="B247" s="5">
        <v>45201</v>
      </c>
      <c r="C247" s="5">
        <v>45204</v>
      </c>
      <c r="D247" s="4" t="s">
        <v>13</v>
      </c>
      <c r="E247" s="4" t="s">
        <v>48</v>
      </c>
      <c r="F247" s="4" t="s">
        <v>27</v>
      </c>
      <c r="G247" s="4">
        <v>120</v>
      </c>
      <c r="H247" s="4">
        <v>120</v>
      </c>
      <c r="I247" s="4">
        <v>5.74</v>
      </c>
      <c r="J247" s="4">
        <v>4.1500000000000004</v>
      </c>
      <c r="K247" s="4">
        <v>4</v>
      </c>
      <c r="L247" s="4">
        <v>605.88</v>
      </c>
    </row>
    <row r="248" spans="1:12" x14ac:dyDescent="0.3">
      <c r="A248" s="2" t="s">
        <v>305</v>
      </c>
      <c r="B248" s="3">
        <v>45239</v>
      </c>
      <c r="C248" s="3">
        <v>45240</v>
      </c>
      <c r="D248" s="2" t="s">
        <v>29</v>
      </c>
      <c r="E248" s="2" t="s">
        <v>48</v>
      </c>
      <c r="F248" s="2" t="s">
        <v>22</v>
      </c>
      <c r="G248" s="2">
        <v>198</v>
      </c>
      <c r="H248" s="2">
        <v>198</v>
      </c>
      <c r="I248" s="2">
        <v>6.45</v>
      </c>
      <c r="J248" s="2">
        <v>3.77</v>
      </c>
      <c r="K248" s="2">
        <v>6</v>
      </c>
      <c r="L248" s="2">
        <v>973.5</v>
      </c>
    </row>
    <row r="249" spans="1:12" x14ac:dyDescent="0.3">
      <c r="A249" s="4" t="s">
        <v>306</v>
      </c>
      <c r="B249" s="5">
        <v>44970</v>
      </c>
      <c r="C249" s="5">
        <v>44972</v>
      </c>
      <c r="D249" s="4" t="s">
        <v>50</v>
      </c>
      <c r="E249" s="4" t="s">
        <v>48</v>
      </c>
      <c r="F249" s="4" t="s">
        <v>38</v>
      </c>
      <c r="G249" s="4">
        <v>80</v>
      </c>
      <c r="H249" s="4">
        <v>80</v>
      </c>
      <c r="I249" s="4">
        <v>5.22</v>
      </c>
      <c r="J249" s="4">
        <v>3.26</v>
      </c>
      <c r="K249" s="4">
        <v>3</v>
      </c>
      <c r="L249" s="4">
        <v>256.83999999999997</v>
      </c>
    </row>
    <row r="250" spans="1:12" x14ac:dyDescent="0.3">
      <c r="A250" s="2" t="s">
        <v>307</v>
      </c>
      <c r="B250" s="3">
        <v>44997</v>
      </c>
      <c r="C250" s="3">
        <v>45001</v>
      </c>
      <c r="D250" s="2" t="s">
        <v>40</v>
      </c>
      <c r="E250" s="2" t="s">
        <v>41</v>
      </c>
      <c r="F250" s="2" t="s">
        <v>38</v>
      </c>
      <c r="G250" s="2">
        <v>115</v>
      </c>
      <c r="H250" s="2">
        <v>115</v>
      </c>
      <c r="I250" s="2">
        <v>22.45</v>
      </c>
      <c r="J250" s="2">
        <v>16.47</v>
      </c>
      <c r="K250" s="2">
        <v>4</v>
      </c>
      <c r="L250" s="2">
        <v>2762.31</v>
      </c>
    </row>
    <row r="251" spans="1:12" x14ac:dyDescent="0.3">
      <c r="A251" s="4" t="s">
        <v>308</v>
      </c>
      <c r="B251" s="5">
        <v>45177</v>
      </c>
      <c r="C251" s="5">
        <v>45178</v>
      </c>
      <c r="D251" s="4" t="s">
        <v>56</v>
      </c>
      <c r="E251" s="4" t="s">
        <v>48</v>
      </c>
      <c r="F251" s="4" t="s">
        <v>19</v>
      </c>
      <c r="G251" s="4">
        <v>181</v>
      </c>
      <c r="H251" s="4">
        <v>181</v>
      </c>
      <c r="I251" s="4">
        <v>7.03</v>
      </c>
      <c r="J251" s="4">
        <v>5.08</v>
      </c>
      <c r="K251" s="4">
        <v>2</v>
      </c>
      <c r="L251" s="4">
        <v>1352.65</v>
      </c>
    </row>
    <row r="252" spans="1:12" x14ac:dyDescent="0.3">
      <c r="A252" s="2" t="s">
        <v>309</v>
      </c>
      <c r="B252" s="3">
        <v>45123</v>
      </c>
      <c r="C252" s="3">
        <v>45128</v>
      </c>
      <c r="D252" s="2" t="s">
        <v>36</v>
      </c>
      <c r="E252" s="2" t="s">
        <v>18</v>
      </c>
      <c r="F252" s="2" t="s">
        <v>19</v>
      </c>
      <c r="G252" s="2">
        <v>354</v>
      </c>
      <c r="H252" s="2">
        <v>354</v>
      </c>
      <c r="I252" s="2">
        <v>9.69</v>
      </c>
      <c r="J252" s="2">
        <v>6.13</v>
      </c>
      <c r="K252" s="2">
        <v>7</v>
      </c>
      <c r="L252" s="2">
        <v>3046.57</v>
      </c>
    </row>
    <row r="253" spans="1:12" x14ac:dyDescent="0.3">
      <c r="A253" s="4" t="s">
        <v>310</v>
      </c>
      <c r="B253" s="5">
        <v>45216</v>
      </c>
      <c r="C253" s="5">
        <v>45223</v>
      </c>
      <c r="D253" s="4" t="s">
        <v>36</v>
      </c>
      <c r="E253" s="4" t="s">
        <v>18</v>
      </c>
      <c r="F253" s="4" t="s">
        <v>27</v>
      </c>
      <c r="G253" s="4">
        <v>132</v>
      </c>
      <c r="H253" s="4">
        <v>132</v>
      </c>
      <c r="I253" s="4">
        <v>7.72</v>
      </c>
      <c r="J253" s="4">
        <v>5.08</v>
      </c>
      <c r="K253" s="4">
        <v>7</v>
      </c>
      <c r="L253" s="4">
        <v>671.18</v>
      </c>
    </row>
    <row r="254" spans="1:12" x14ac:dyDescent="0.3">
      <c r="A254" s="2" t="s">
        <v>311</v>
      </c>
      <c r="B254" s="3">
        <v>45208</v>
      </c>
      <c r="C254" s="3">
        <v>45213</v>
      </c>
      <c r="D254" s="2" t="s">
        <v>36</v>
      </c>
      <c r="E254" s="2" t="s">
        <v>48</v>
      </c>
      <c r="F254" s="2" t="s">
        <v>22</v>
      </c>
      <c r="G254" s="2">
        <v>78</v>
      </c>
      <c r="H254" s="2">
        <v>78</v>
      </c>
      <c r="I254" s="2">
        <v>6.76</v>
      </c>
      <c r="J254" s="2">
        <v>5.0599999999999996</v>
      </c>
      <c r="K254" s="2">
        <v>7</v>
      </c>
      <c r="L254" s="2">
        <v>483.57</v>
      </c>
    </row>
    <row r="255" spans="1:12" x14ac:dyDescent="0.3">
      <c r="A255" s="4" t="s">
        <v>308</v>
      </c>
      <c r="B255" s="5">
        <v>45038</v>
      </c>
      <c r="C255" s="5">
        <v>45042</v>
      </c>
      <c r="D255" s="4" t="s">
        <v>33</v>
      </c>
      <c r="E255" s="4" t="s">
        <v>41</v>
      </c>
      <c r="F255" s="4" t="s">
        <v>38</v>
      </c>
      <c r="G255" s="4">
        <v>396</v>
      </c>
      <c r="H255" s="4">
        <v>396</v>
      </c>
      <c r="I255" s="4">
        <v>25.02</v>
      </c>
      <c r="J255" s="4">
        <v>15.25</v>
      </c>
      <c r="K255" s="4">
        <v>3</v>
      </c>
      <c r="L255" s="4">
        <v>9056.01</v>
      </c>
    </row>
    <row r="256" spans="1:12" x14ac:dyDescent="0.3">
      <c r="A256" s="2" t="s">
        <v>312</v>
      </c>
      <c r="B256" s="3">
        <v>44971</v>
      </c>
      <c r="C256" s="3">
        <v>44972</v>
      </c>
      <c r="D256" s="2" t="s">
        <v>101</v>
      </c>
      <c r="E256" s="2" t="s">
        <v>34</v>
      </c>
      <c r="F256" s="2" t="s">
        <v>15</v>
      </c>
      <c r="G256" s="2">
        <v>141</v>
      </c>
      <c r="H256" s="2">
        <v>141</v>
      </c>
      <c r="I256" s="2">
        <v>18.64</v>
      </c>
      <c r="J256" s="2">
        <v>12.82</v>
      </c>
      <c r="K256" s="2">
        <v>7</v>
      </c>
      <c r="L256" s="2">
        <v>2560.73</v>
      </c>
    </row>
    <row r="257" spans="1:12" x14ac:dyDescent="0.3">
      <c r="A257" s="4" t="s">
        <v>313</v>
      </c>
      <c r="B257" s="5">
        <v>44998</v>
      </c>
      <c r="C257" s="5">
        <v>45000</v>
      </c>
      <c r="D257" s="4" t="s">
        <v>132</v>
      </c>
      <c r="E257" s="4" t="s">
        <v>18</v>
      </c>
      <c r="F257" s="4" t="s">
        <v>38</v>
      </c>
      <c r="G257" s="4">
        <v>50</v>
      </c>
      <c r="H257" s="4">
        <v>50</v>
      </c>
      <c r="I257" s="4">
        <v>8.9499999999999993</v>
      </c>
      <c r="J257" s="4">
        <v>5.99</v>
      </c>
      <c r="K257" s="4">
        <v>4</v>
      </c>
      <c r="L257" s="4">
        <v>299.81</v>
      </c>
    </row>
    <row r="258" spans="1:12" x14ac:dyDescent="0.3">
      <c r="A258" s="2" t="s">
        <v>314</v>
      </c>
      <c r="B258" s="3">
        <v>45063</v>
      </c>
      <c r="C258" s="3">
        <v>45071</v>
      </c>
      <c r="D258" s="2" t="s">
        <v>50</v>
      </c>
      <c r="E258" s="2" t="s">
        <v>34</v>
      </c>
      <c r="F258" s="2" t="s">
        <v>38</v>
      </c>
      <c r="G258" s="2">
        <v>367</v>
      </c>
      <c r="H258" s="2">
        <v>367</v>
      </c>
      <c r="I258" s="2">
        <v>13.22</v>
      </c>
      <c r="J258" s="2">
        <v>9.25</v>
      </c>
      <c r="K258" s="2">
        <v>3</v>
      </c>
      <c r="L258" s="2">
        <v>3893.63</v>
      </c>
    </row>
    <row r="259" spans="1:12" x14ac:dyDescent="0.3">
      <c r="A259" s="4" t="s">
        <v>315</v>
      </c>
      <c r="B259" s="5">
        <v>45286</v>
      </c>
      <c r="C259" s="5">
        <v>45291</v>
      </c>
      <c r="D259" s="4" t="s">
        <v>33</v>
      </c>
      <c r="E259" s="4" t="s">
        <v>34</v>
      </c>
      <c r="F259" s="4" t="s">
        <v>19</v>
      </c>
      <c r="G259" s="4">
        <v>94</v>
      </c>
      <c r="H259" s="4">
        <v>94</v>
      </c>
      <c r="I259" s="4">
        <v>19.46</v>
      </c>
      <c r="J259" s="4">
        <v>13.67</v>
      </c>
      <c r="K259" s="4">
        <v>3</v>
      </c>
      <c r="L259" s="4">
        <v>1677.85</v>
      </c>
    </row>
    <row r="260" spans="1:12" x14ac:dyDescent="0.3">
      <c r="A260" s="2" t="s">
        <v>316</v>
      </c>
      <c r="B260" s="3">
        <v>45250</v>
      </c>
      <c r="C260" s="3">
        <v>45254</v>
      </c>
      <c r="D260" s="2" t="s">
        <v>36</v>
      </c>
      <c r="E260" s="2" t="s">
        <v>18</v>
      </c>
      <c r="F260" s="2" t="s">
        <v>38</v>
      </c>
      <c r="G260" s="2">
        <v>212</v>
      </c>
      <c r="H260" s="2">
        <v>212</v>
      </c>
      <c r="I260" s="2">
        <v>9.44</v>
      </c>
      <c r="J260" s="2">
        <v>6.85</v>
      </c>
      <c r="K260" s="2">
        <v>7</v>
      </c>
      <c r="L260" s="2">
        <v>1388.1</v>
      </c>
    </row>
    <row r="261" spans="1:12" x14ac:dyDescent="0.3">
      <c r="A261" s="4" t="s">
        <v>317</v>
      </c>
      <c r="B261" s="5">
        <v>45176</v>
      </c>
      <c r="C261" s="5">
        <v>45177</v>
      </c>
      <c r="D261" s="4" t="s">
        <v>50</v>
      </c>
      <c r="E261" s="4" t="s">
        <v>34</v>
      </c>
      <c r="F261" s="4" t="s">
        <v>22</v>
      </c>
      <c r="G261" s="4">
        <v>395</v>
      </c>
      <c r="H261" s="4">
        <v>395</v>
      </c>
      <c r="I261" s="4">
        <v>20.75</v>
      </c>
      <c r="J261" s="4">
        <v>14.05</v>
      </c>
      <c r="K261" s="4">
        <v>3</v>
      </c>
      <c r="L261" s="4">
        <v>7316.64</v>
      </c>
    </row>
    <row r="262" spans="1:12" x14ac:dyDescent="0.3">
      <c r="A262" s="2" t="s">
        <v>318</v>
      </c>
      <c r="B262" s="3">
        <v>45038</v>
      </c>
      <c r="C262" s="3">
        <v>45044</v>
      </c>
      <c r="D262" s="2" t="s">
        <v>13</v>
      </c>
      <c r="E262" s="2" t="s">
        <v>48</v>
      </c>
      <c r="F262" s="2" t="s">
        <v>22</v>
      </c>
      <c r="G262" s="2">
        <v>273</v>
      </c>
      <c r="H262" s="2">
        <v>273</v>
      </c>
      <c r="I262" s="2">
        <v>7.78</v>
      </c>
      <c r="J262" s="2">
        <v>4.8</v>
      </c>
      <c r="K262" s="2">
        <v>4</v>
      </c>
      <c r="L262" s="2">
        <v>1633.75</v>
      </c>
    </row>
    <row r="263" spans="1:12" x14ac:dyDescent="0.3">
      <c r="A263" s="4" t="s">
        <v>319</v>
      </c>
      <c r="B263" s="4" t="s">
        <v>320</v>
      </c>
      <c r="C263" s="5">
        <v>44957</v>
      </c>
      <c r="D263" s="4" t="s">
        <v>36</v>
      </c>
      <c r="E263" s="4" t="s">
        <v>34</v>
      </c>
      <c r="F263" s="4" t="s">
        <v>27</v>
      </c>
      <c r="G263" s="4">
        <v>255</v>
      </c>
      <c r="H263" s="4">
        <v>198</v>
      </c>
      <c r="I263" s="4">
        <v>15.97</v>
      </c>
      <c r="J263" s="4">
        <v>8.7899999999999991</v>
      </c>
      <c r="K263" s="4">
        <v>7</v>
      </c>
      <c r="L263" s="4"/>
    </row>
    <row r="264" spans="1:12" x14ac:dyDescent="0.3">
      <c r="A264" s="2" t="s">
        <v>321</v>
      </c>
      <c r="B264" s="3">
        <v>45008</v>
      </c>
      <c r="C264" s="3">
        <v>45016</v>
      </c>
      <c r="D264" s="2" t="s">
        <v>26</v>
      </c>
      <c r="E264" s="2" t="s">
        <v>18</v>
      </c>
      <c r="F264" s="2" t="s">
        <v>15</v>
      </c>
      <c r="G264" s="2">
        <v>67</v>
      </c>
      <c r="H264" s="2">
        <v>67</v>
      </c>
      <c r="I264" s="2">
        <v>7.6</v>
      </c>
      <c r="J264" s="2">
        <v>4.75</v>
      </c>
      <c r="K264" s="2">
        <v>5</v>
      </c>
      <c r="L264" s="2">
        <v>459.01</v>
      </c>
    </row>
    <row r="265" spans="1:12" x14ac:dyDescent="0.3">
      <c r="A265" s="4" t="s">
        <v>322</v>
      </c>
      <c r="B265" s="5">
        <v>45247</v>
      </c>
      <c r="C265" s="5">
        <v>45248</v>
      </c>
      <c r="D265" s="4" t="s">
        <v>56</v>
      </c>
      <c r="E265" s="4" t="s">
        <v>14</v>
      </c>
      <c r="F265" s="4" t="s">
        <v>22</v>
      </c>
      <c r="G265" s="4">
        <v>239</v>
      </c>
      <c r="H265" s="4">
        <v>239</v>
      </c>
      <c r="I265" s="4">
        <v>14.67</v>
      </c>
      <c r="J265" s="4">
        <v>8.07</v>
      </c>
      <c r="K265" s="4">
        <v>2</v>
      </c>
      <c r="L265" s="4">
        <v>2287.64</v>
      </c>
    </row>
    <row r="266" spans="1:12" x14ac:dyDescent="0.3">
      <c r="A266" s="2" t="s">
        <v>323</v>
      </c>
      <c r="B266" s="3">
        <v>45192</v>
      </c>
      <c r="C266" s="3">
        <v>45193</v>
      </c>
      <c r="D266" s="2" t="s">
        <v>56</v>
      </c>
      <c r="E266" s="2" t="s">
        <v>48</v>
      </c>
      <c r="F266" s="2" t="s">
        <v>19</v>
      </c>
      <c r="G266" s="2">
        <v>24</v>
      </c>
      <c r="H266" s="2">
        <v>24</v>
      </c>
      <c r="I266" s="2">
        <v>7.74</v>
      </c>
      <c r="J266" s="2">
        <v>5.79</v>
      </c>
      <c r="K266" s="2">
        <v>2</v>
      </c>
      <c r="L266" s="2">
        <v>160.27000000000001</v>
      </c>
    </row>
    <row r="267" spans="1:12" x14ac:dyDescent="0.3">
      <c r="A267" s="4" t="s">
        <v>324</v>
      </c>
      <c r="B267" s="5">
        <v>45044</v>
      </c>
      <c r="C267" s="5">
        <v>45045</v>
      </c>
      <c r="D267" s="4" t="s">
        <v>56</v>
      </c>
      <c r="E267" s="4" t="s">
        <v>41</v>
      </c>
      <c r="F267" s="4" t="s">
        <v>27</v>
      </c>
      <c r="G267" s="4">
        <v>72</v>
      </c>
      <c r="H267" s="4">
        <v>72</v>
      </c>
      <c r="I267" s="4">
        <v>26.57</v>
      </c>
      <c r="J267" s="4">
        <v>15.34</v>
      </c>
      <c r="K267" s="4">
        <v>2</v>
      </c>
      <c r="L267" s="4">
        <v>1506.59</v>
      </c>
    </row>
    <row r="268" spans="1:12" x14ac:dyDescent="0.3">
      <c r="A268" s="2" t="s">
        <v>325</v>
      </c>
      <c r="B268" s="3">
        <v>45198</v>
      </c>
      <c r="C268" s="3">
        <v>45199</v>
      </c>
      <c r="D268" s="2" t="s">
        <v>56</v>
      </c>
      <c r="E268" s="2" t="s">
        <v>18</v>
      </c>
      <c r="F268" s="2" t="s">
        <v>27</v>
      </c>
      <c r="G268" s="2">
        <v>245</v>
      </c>
      <c r="H268" s="2">
        <v>245</v>
      </c>
      <c r="I268" s="2">
        <v>7.42</v>
      </c>
      <c r="J268" s="2">
        <v>5.19</v>
      </c>
      <c r="K268" s="2">
        <v>2</v>
      </c>
      <c r="L268" s="2">
        <v>1846.21</v>
      </c>
    </row>
    <row r="269" spans="1:12" x14ac:dyDescent="0.3">
      <c r="A269" s="4" t="s">
        <v>326</v>
      </c>
      <c r="B269" s="5">
        <v>44978</v>
      </c>
      <c r="C269" s="5">
        <v>44979</v>
      </c>
      <c r="D269" s="4" t="s">
        <v>36</v>
      </c>
      <c r="E269" s="4" t="s">
        <v>18</v>
      </c>
      <c r="F269" s="4" t="s">
        <v>27</v>
      </c>
      <c r="G269" s="4">
        <v>321</v>
      </c>
      <c r="H269" s="4">
        <v>321</v>
      </c>
      <c r="I269" s="4">
        <v>8.09</v>
      </c>
      <c r="J269" s="4">
        <v>5.14</v>
      </c>
      <c r="K269" s="4">
        <v>7</v>
      </c>
      <c r="L269" s="4">
        <v>2268.08</v>
      </c>
    </row>
    <row r="270" spans="1:12" x14ac:dyDescent="0.3">
      <c r="A270" s="2" t="s">
        <v>327</v>
      </c>
      <c r="B270" s="3">
        <v>45054</v>
      </c>
      <c r="C270" s="3">
        <v>45059</v>
      </c>
      <c r="D270" s="2" t="s">
        <v>26</v>
      </c>
      <c r="E270" s="2" t="s">
        <v>34</v>
      </c>
      <c r="F270" s="2" t="s">
        <v>27</v>
      </c>
      <c r="G270" s="2">
        <v>389</v>
      </c>
      <c r="H270" s="2">
        <v>389</v>
      </c>
      <c r="I270" s="2">
        <v>19.010000000000002</v>
      </c>
      <c r="J270" s="2">
        <v>13.08</v>
      </c>
      <c r="K270" s="2">
        <v>5</v>
      </c>
      <c r="L270" s="2"/>
    </row>
    <row r="271" spans="1:12" x14ac:dyDescent="0.3">
      <c r="A271" s="4" t="s">
        <v>328</v>
      </c>
      <c r="B271" s="5">
        <v>45237</v>
      </c>
      <c r="C271" s="5">
        <v>45240</v>
      </c>
      <c r="D271" s="4" t="s">
        <v>50</v>
      </c>
      <c r="E271" s="4" t="s">
        <v>18</v>
      </c>
      <c r="F271" s="4" t="s">
        <v>38</v>
      </c>
      <c r="G271" s="4">
        <v>220</v>
      </c>
      <c r="H271" s="4">
        <v>220</v>
      </c>
      <c r="I271" s="4">
        <v>6.66</v>
      </c>
      <c r="J271" s="4">
        <v>4.8600000000000003</v>
      </c>
      <c r="K271" s="4">
        <v>3</v>
      </c>
      <c r="L271" s="4">
        <v>1574.72</v>
      </c>
    </row>
    <row r="272" spans="1:12" x14ac:dyDescent="0.3">
      <c r="A272" s="2" t="s">
        <v>329</v>
      </c>
      <c r="B272" s="3">
        <v>45050</v>
      </c>
      <c r="C272" s="3">
        <v>45055</v>
      </c>
      <c r="D272" s="2" t="s">
        <v>36</v>
      </c>
      <c r="E272" s="2" t="s">
        <v>41</v>
      </c>
      <c r="F272" s="2" t="s">
        <v>27</v>
      </c>
      <c r="G272" s="2">
        <v>56</v>
      </c>
      <c r="H272" s="2">
        <v>56</v>
      </c>
      <c r="I272" s="2">
        <v>27.73</v>
      </c>
      <c r="J272" s="2">
        <v>20.72</v>
      </c>
      <c r="K272" s="2">
        <v>7</v>
      </c>
      <c r="L272" s="2">
        <v>1694.48</v>
      </c>
    </row>
    <row r="273" spans="1:12" x14ac:dyDescent="0.3">
      <c r="A273" s="4" t="s">
        <v>330</v>
      </c>
      <c r="B273" s="5">
        <v>45142</v>
      </c>
      <c r="C273" s="5">
        <v>45143</v>
      </c>
      <c r="D273" s="4" t="s">
        <v>56</v>
      </c>
      <c r="E273" s="4" t="s">
        <v>41</v>
      </c>
      <c r="F273" s="4" t="s">
        <v>38</v>
      </c>
      <c r="G273" s="4">
        <v>261</v>
      </c>
      <c r="H273" s="4">
        <v>261</v>
      </c>
      <c r="I273" s="4">
        <v>25.24</v>
      </c>
      <c r="J273" s="4">
        <v>13.97</v>
      </c>
      <c r="K273" s="4">
        <v>2</v>
      </c>
      <c r="L273" s="4">
        <v>3429.29</v>
      </c>
    </row>
    <row r="274" spans="1:12" x14ac:dyDescent="0.3">
      <c r="A274" s="2" t="s">
        <v>331</v>
      </c>
      <c r="B274" s="3">
        <v>44957</v>
      </c>
      <c r="C274" s="3">
        <v>44959</v>
      </c>
      <c r="D274" s="2" t="s">
        <v>50</v>
      </c>
      <c r="E274" s="2" t="s">
        <v>18</v>
      </c>
      <c r="F274" s="2" t="s">
        <v>27</v>
      </c>
      <c r="G274" s="2">
        <v>279</v>
      </c>
      <c r="H274" s="2">
        <v>279</v>
      </c>
      <c r="I274" s="2">
        <v>9.82</v>
      </c>
      <c r="J274" s="2">
        <v>6.91</v>
      </c>
      <c r="K274" s="2">
        <v>3</v>
      </c>
      <c r="L274" s="2">
        <v>2225.06</v>
      </c>
    </row>
    <row r="275" spans="1:12" x14ac:dyDescent="0.3">
      <c r="A275" s="4" t="s">
        <v>332</v>
      </c>
      <c r="B275" s="5">
        <v>45202</v>
      </c>
      <c r="C275" s="5">
        <v>45205</v>
      </c>
      <c r="D275" s="4" t="s">
        <v>40</v>
      </c>
      <c r="E275" s="4" t="s">
        <v>14</v>
      </c>
      <c r="F275" s="4" t="s">
        <v>38</v>
      </c>
      <c r="G275" s="4">
        <v>62</v>
      </c>
      <c r="H275" s="4">
        <v>62</v>
      </c>
      <c r="I275" s="4">
        <v>13.28</v>
      </c>
      <c r="J275" s="4">
        <v>7.84</v>
      </c>
      <c r="K275" s="4">
        <v>4</v>
      </c>
      <c r="L275" s="4">
        <v>673.14</v>
      </c>
    </row>
    <row r="276" spans="1:12" x14ac:dyDescent="0.3">
      <c r="A276" s="2" t="s">
        <v>333</v>
      </c>
      <c r="B276" s="3">
        <v>45251</v>
      </c>
      <c r="C276" s="3">
        <v>45257</v>
      </c>
      <c r="D276" s="2" t="s">
        <v>29</v>
      </c>
      <c r="E276" s="2" t="s">
        <v>41</v>
      </c>
      <c r="F276" s="2" t="s">
        <v>38</v>
      </c>
      <c r="G276" s="2">
        <v>368</v>
      </c>
      <c r="H276" s="2">
        <v>368</v>
      </c>
      <c r="I276" s="2">
        <v>19.72</v>
      </c>
      <c r="J276" s="2">
        <v>12.57</v>
      </c>
      <c r="K276" s="2">
        <v>6</v>
      </c>
      <c r="L276" s="2">
        <v>6809.38</v>
      </c>
    </row>
    <row r="277" spans="1:12" x14ac:dyDescent="0.3">
      <c r="A277" s="4" t="s">
        <v>332</v>
      </c>
      <c r="B277" s="5">
        <v>44971</v>
      </c>
      <c r="C277" s="5">
        <v>44977</v>
      </c>
      <c r="D277" s="4" t="s">
        <v>26</v>
      </c>
      <c r="E277" s="4" t="s">
        <v>14</v>
      </c>
      <c r="F277" s="4" t="s">
        <v>19</v>
      </c>
      <c r="G277" s="4">
        <v>252</v>
      </c>
      <c r="H277" s="4">
        <v>252</v>
      </c>
      <c r="I277" s="4">
        <v>10</v>
      </c>
      <c r="J277" s="4">
        <v>6.83</v>
      </c>
      <c r="K277" s="4">
        <v>5</v>
      </c>
      <c r="L277" s="4">
        <v>2228.61</v>
      </c>
    </row>
    <row r="278" spans="1:12" x14ac:dyDescent="0.3">
      <c r="A278" s="2" t="s">
        <v>334</v>
      </c>
      <c r="B278" s="3">
        <v>45289</v>
      </c>
      <c r="C278" s="3">
        <v>45290</v>
      </c>
      <c r="D278" s="2" t="s">
        <v>56</v>
      </c>
      <c r="E278" s="2" t="s">
        <v>14</v>
      </c>
      <c r="F278" s="2" t="s">
        <v>27</v>
      </c>
      <c r="G278" s="2">
        <v>103</v>
      </c>
      <c r="H278" s="2">
        <v>103</v>
      </c>
      <c r="I278" s="2">
        <v>12.1</v>
      </c>
      <c r="J278" s="2">
        <v>7.91</v>
      </c>
      <c r="K278" s="2">
        <v>2</v>
      </c>
      <c r="L278" s="2">
        <v>1135.33</v>
      </c>
    </row>
    <row r="279" spans="1:12" x14ac:dyDescent="0.3">
      <c r="A279" s="4" t="s">
        <v>335</v>
      </c>
      <c r="B279" s="5">
        <v>44991</v>
      </c>
      <c r="C279" s="5">
        <v>44993</v>
      </c>
      <c r="D279" s="4" t="s">
        <v>50</v>
      </c>
      <c r="E279" s="4" t="s">
        <v>18</v>
      </c>
      <c r="F279" s="4" t="s">
        <v>15</v>
      </c>
      <c r="G279" s="4">
        <v>395</v>
      </c>
      <c r="H279" s="4">
        <v>395</v>
      </c>
      <c r="I279" s="4">
        <v>10.1</v>
      </c>
      <c r="J279" s="4">
        <v>5.61</v>
      </c>
      <c r="K279" s="4">
        <v>3</v>
      </c>
      <c r="L279" s="4">
        <v>3067.46</v>
      </c>
    </row>
    <row r="280" spans="1:12" x14ac:dyDescent="0.3">
      <c r="A280" s="2" t="s">
        <v>336</v>
      </c>
      <c r="B280" s="3">
        <v>45061</v>
      </c>
      <c r="C280" s="3">
        <v>45064</v>
      </c>
      <c r="D280" s="2" t="s">
        <v>62</v>
      </c>
      <c r="E280" s="2" t="s">
        <v>48</v>
      </c>
      <c r="F280" s="2" t="s">
        <v>27</v>
      </c>
      <c r="G280" s="2">
        <v>341</v>
      </c>
      <c r="H280" s="2">
        <v>341</v>
      </c>
      <c r="I280" s="2">
        <v>6.44</v>
      </c>
      <c r="J280" s="2">
        <v>4.01</v>
      </c>
      <c r="K280" s="2">
        <v>3</v>
      </c>
      <c r="L280" s="2">
        <v>1640.57</v>
      </c>
    </row>
    <row r="281" spans="1:12" x14ac:dyDescent="0.3">
      <c r="A281" s="4" t="s">
        <v>337</v>
      </c>
      <c r="B281" s="5">
        <v>45057</v>
      </c>
      <c r="C281" s="5">
        <v>45053</v>
      </c>
      <c r="D281" s="4" t="s">
        <v>56</v>
      </c>
      <c r="E281" s="4" t="s">
        <v>34</v>
      </c>
      <c r="F281" s="4" t="s">
        <v>19</v>
      </c>
      <c r="G281" s="4">
        <v>136</v>
      </c>
      <c r="H281" s="4">
        <v>136</v>
      </c>
      <c r="I281" s="4">
        <v>12.02</v>
      </c>
      <c r="J281" s="4">
        <v>8.68</v>
      </c>
      <c r="K281" s="4">
        <v>2</v>
      </c>
      <c r="L281" s="4">
        <v>1071.1400000000001</v>
      </c>
    </row>
    <row r="282" spans="1:12" x14ac:dyDescent="0.3">
      <c r="A282" s="2" t="s">
        <v>338</v>
      </c>
      <c r="B282" s="3">
        <v>45123</v>
      </c>
      <c r="C282" s="3">
        <v>45128</v>
      </c>
      <c r="D282" s="2" t="s">
        <v>21</v>
      </c>
      <c r="E282" s="2" t="s">
        <v>41</v>
      </c>
      <c r="F282" s="2" t="s">
        <v>15</v>
      </c>
      <c r="G282" s="2">
        <v>38</v>
      </c>
      <c r="H282" s="2">
        <v>38</v>
      </c>
      <c r="I282" s="2">
        <v>26.97</v>
      </c>
      <c r="J282" s="2">
        <v>18.829999999999998</v>
      </c>
      <c r="K282" s="2">
        <v>3</v>
      </c>
      <c r="L282" s="2">
        <v>824.03</v>
      </c>
    </row>
    <row r="283" spans="1:12" x14ac:dyDescent="0.3">
      <c r="A283" s="4" t="s">
        <v>339</v>
      </c>
      <c r="B283" s="5">
        <v>45090</v>
      </c>
      <c r="C283" s="5">
        <v>45091</v>
      </c>
      <c r="D283" s="4" t="s">
        <v>29</v>
      </c>
      <c r="E283" s="4" t="s">
        <v>18</v>
      </c>
      <c r="F283" s="4" t="s">
        <v>22</v>
      </c>
      <c r="G283" s="4">
        <v>312</v>
      </c>
      <c r="H283" s="4">
        <v>312</v>
      </c>
      <c r="I283" s="4">
        <v>8.81</v>
      </c>
      <c r="J283" s="4">
        <v>6.43</v>
      </c>
      <c r="K283" s="4">
        <v>6</v>
      </c>
      <c r="L283" s="4"/>
    </row>
    <row r="284" spans="1:12" x14ac:dyDescent="0.3">
      <c r="A284" s="2" t="s">
        <v>340</v>
      </c>
      <c r="B284" s="3">
        <v>45165</v>
      </c>
      <c r="C284" s="3">
        <v>45171</v>
      </c>
      <c r="D284" s="2" t="s">
        <v>33</v>
      </c>
      <c r="E284" s="2" t="s">
        <v>41</v>
      </c>
      <c r="F284" s="2" t="s">
        <v>27</v>
      </c>
      <c r="G284" s="2">
        <v>187</v>
      </c>
      <c r="H284" s="2">
        <v>187</v>
      </c>
      <c r="I284" s="2">
        <v>21.48</v>
      </c>
      <c r="J284" s="2">
        <v>13.4</v>
      </c>
      <c r="K284" s="2">
        <v>3</v>
      </c>
      <c r="L284" s="2">
        <v>2693.63</v>
      </c>
    </row>
    <row r="285" spans="1:12" x14ac:dyDescent="0.3">
      <c r="A285" s="4" t="s">
        <v>341</v>
      </c>
      <c r="B285" s="5">
        <v>45164</v>
      </c>
      <c r="C285" s="5">
        <v>45166</v>
      </c>
      <c r="D285" s="4" t="s">
        <v>50</v>
      </c>
      <c r="E285" s="4" t="s">
        <v>48</v>
      </c>
      <c r="F285" s="4" t="s">
        <v>19</v>
      </c>
      <c r="G285" s="4">
        <v>120</v>
      </c>
      <c r="H285" s="4">
        <v>120</v>
      </c>
      <c r="I285" s="4">
        <v>6.77</v>
      </c>
      <c r="J285" s="4">
        <v>4.8</v>
      </c>
      <c r="K285" s="4">
        <v>3</v>
      </c>
      <c r="L285" s="4">
        <v>570.44000000000005</v>
      </c>
    </row>
    <row r="286" spans="1:12" x14ac:dyDescent="0.3">
      <c r="A286" s="2" t="s">
        <v>342</v>
      </c>
      <c r="B286" s="2" t="s">
        <v>343</v>
      </c>
      <c r="C286" s="3">
        <v>45205</v>
      </c>
      <c r="D286" s="2" t="s">
        <v>40</v>
      </c>
      <c r="E286" s="2" t="s">
        <v>14</v>
      </c>
      <c r="F286" s="2" t="s">
        <v>19</v>
      </c>
      <c r="G286" s="2">
        <v>191</v>
      </c>
      <c r="H286" s="2">
        <v>175</v>
      </c>
      <c r="I286" s="2">
        <v>12.31</v>
      </c>
      <c r="J286" s="2">
        <v>8.59</v>
      </c>
      <c r="K286" s="2">
        <v>4</v>
      </c>
      <c r="L286" s="2">
        <v>1779.34</v>
      </c>
    </row>
    <row r="287" spans="1:12" x14ac:dyDescent="0.3">
      <c r="A287" s="4" t="s">
        <v>344</v>
      </c>
      <c r="B287" s="5">
        <v>45141</v>
      </c>
      <c r="C287" s="5">
        <v>45142</v>
      </c>
      <c r="D287" s="4" t="s">
        <v>127</v>
      </c>
      <c r="E287" s="4" t="s">
        <v>48</v>
      </c>
      <c r="F287" s="4" t="s">
        <v>19</v>
      </c>
      <c r="G287" s="4">
        <v>92</v>
      </c>
      <c r="H287" s="4">
        <v>92</v>
      </c>
      <c r="I287" s="4">
        <v>5.13</v>
      </c>
      <c r="J287" s="4">
        <v>3.77</v>
      </c>
      <c r="K287" s="4">
        <v>5</v>
      </c>
      <c r="L287" s="4">
        <v>498.89</v>
      </c>
    </row>
    <row r="288" spans="1:12" x14ac:dyDescent="0.3">
      <c r="A288" s="2" t="s">
        <v>344</v>
      </c>
      <c r="B288" s="3">
        <v>44970</v>
      </c>
      <c r="C288" s="3">
        <v>44972</v>
      </c>
      <c r="D288" s="2" t="s">
        <v>40</v>
      </c>
      <c r="E288" s="2" t="s">
        <v>34</v>
      </c>
      <c r="F288" s="2" t="s">
        <v>22</v>
      </c>
      <c r="G288" s="2">
        <v>346</v>
      </c>
      <c r="H288" s="2">
        <v>346</v>
      </c>
      <c r="I288" s="2" t="s">
        <v>345</v>
      </c>
      <c r="J288" s="2">
        <v>8.41</v>
      </c>
      <c r="K288" s="2">
        <v>4</v>
      </c>
      <c r="L288" s="2">
        <v>3378.32</v>
      </c>
    </row>
    <row r="289" spans="1:12" x14ac:dyDescent="0.3">
      <c r="A289" s="4" t="s">
        <v>346</v>
      </c>
      <c r="B289" s="5">
        <v>45060</v>
      </c>
      <c r="C289" s="5">
        <v>45062</v>
      </c>
      <c r="D289" s="4" t="s">
        <v>56</v>
      </c>
      <c r="E289" s="4" t="s">
        <v>18</v>
      </c>
      <c r="F289" s="4" t="s">
        <v>15</v>
      </c>
      <c r="G289" s="4">
        <v>378</v>
      </c>
      <c r="H289" s="4">
        <v>378</v>
      </c>
      <c r="I289" s="4">
        <v>7.97</v>
      </c>
      <c r="J289" s="4">
        <v>5.1100000000000003</v>
      </c>
      <c r="K289" s="4">
        <v>2</v>
      </c>
      <c r="L289" s="4">
        <v>2009.17</v>
      </c>
    </row>
    <row r="290" spans="1:12" x14ac:dyDescent="0.3">
      <c r="A290" s="2" t="s">
        <v>347</v>
      </c>
      <c r="B290" s="3">
        <v>44982</v>
      </c>
      <c r="C290" s="3">
        <v>44984</v>
      </c>
      <c r="D290" s="2" t="s">
        <v>26</v>
      </c>
      <c r="E290" s="2" t="s">
        <v>18</v>
      </c>
      <c r="F290" s="2" t="s">
        <v>38</v>
      </c>
      <c r="G290" s="2">
        <v>250</v>
      </c>
      <c r="H290" s="2">
        <v>250</v>
      </c>
      <c r="I290" s="2">
        <v>8.35</v>
      </c>
      <c r="J290" s="2">
        <v>5.49</v>
      </c>
      <c r="K290" s="2">
        <v>5</v>
      </c>
      <c r="L290" s="2">
        <v>2029.63</v>
      </c>
    </row>
    <row r="291" spans="1:12" x14ac:dyDescent="0.3">
      <c r="A291" s="4" t="s">
        <v>348</v>
      </c>
      <c r="B291" s="5">
        <v>45164</v>
      </c>
      <c r="C291" s="5">
        <v>45165</v>
      </c>
      <c r="D291" s="4" t="s">
        <v>26</v>
      </c>
      <c r="E291" s="4" t="s">
        <v>41</v>
      </c>
      <c r="F291" s="4" t="s">
        <v>15</v>
      </c>
      <c r="G291" s="4">
        <v>66</v>
      </c>
      <c r="H291" s="4">
        <v>66</v>
      </c>
      <c r="I291" s="4">
        <v>24.23</v>
      </c>
      <c r="J291" s="4">
        <v>17.329999999999998</v>
      </c>
      <c r="K291" s="4">
        <v>5</v>
      </c>
      <c r="L291" s="4">
        <v>1507.65</v>
      </c>
    </row>
    <row r="292" spans="1:12" x14ac:dyDescent="0.3">
      <c r="A292" s="2" t="s">
        <v>349</v>
      </c>
      <c r="B292" s="3">
        <v>45002</v>
      </c>
      <c r="C292" s="3">
        <v>45003</v>
      </c>
      <c r="D292" s="2" t="s">
        <v>33</v>
      </c>
      <c r="E292" s="2" t="s">
        <v>18</v>
      </c>
      <c r="F292" s="2" t="s">
        <v>15</v>
      </c>
      <c r="G292" s="2">
        <v>202</v>
      </c>
      <c r="H292" s="2">
        <v>202</v>
      </c>
      <c r="I292" s="2">
        <v>6.63</v>
      </c>
      <c r="J292" s="2">
        <v>4.04</v>
      </c>
      <c r="K292" s="2">
        <v>3</v>
      </c>
      <c r="L292" s="2">
        <v>1136.03</v>
      </c>
    </row>
    <row r="293" spans="1:12" x14ac:dyDescent="0.3">
      <c r="A293" s="4" t="s">
        <v>350</v>
      </c>
      <c r="B293" s="5">
        <v>45158</v>
      </c>
      <c r="C293" s="5">
        <v>45159</v>
      </c>
      <c r="D293" s="4" t="s">
        <v>56</v>
      </c>
      <c r="E293" s="4" t="s">
        <v>14</v>
      </c>
      <c r="F293" s="4" t="s">
        <v>22</v>
      </c>
      <c r="G293" s="4">
        <v>68</v>
      </c>
      <c r="H293" s="4">
        <v>68</v>
      </c>
      <c r="I293" s="4">
        <v>15.39</v>
      </c>
      <c r="J293" s="4">
        <v>8.89</v>
      </c>
      <c r="K293" s="4">
        <v>2</v>
      </c>
      <c r="L293" s="4">
        <v>548.4</v>
      </c>
    </row>
    <row r="294" spans="1:12" x14ac:dyDescent="0.3">
      <c r="A294" s="2" t="s">
        <v>351</v>
      </c>
      <c r="B294" s="3">
        <v>45132</v>
      </c>
      <c r="C294" s="3">
        <v>45133</v>
      </c>
      <c r="D294" s="2" t="s">
        <v>26</v>
      </c>
      <c r="E294" s="2" t="s">
        <v>18</v>
      </c>
      <c r="F294" s="2" t="s">
        <v>19</v>
      </c>
      <c r="G294" s="2">
        <v>318</v>
      </c>
      <c r="H294" s="2">
        <v>318</v>
      </c>
      <c r="I294" s="2">
        <v>10.8</v>
      </c>
      <c r="J294" s="2">
        <v>6.1</v>
      </c>
      <c r="K294" s="2">
        <v>5</v>
      </c>
      <c r="L294" s="2">
        <v>2906.4</v>
      </c>
    </row>
    <row r="295" spans="1:12" x14ac:dyDescent="0.3">
      <c r="A295" s="4" t="s">
        <v>352</v>
      </c>
      <c r="B295" s="5">
        <v>44974</v>
      </c>
      <c r="C295" s="5">
        <v>44982</v>
      </c>
      <c r="D295" s="4" t="s">
        <v>26</v>
      </c>
      <c r="E295" s="4" t="s">
        <v>41</v>
      </c>
      <c r="F295" s="4" t="s">
        <v>19</v>
      </c>
      <c r="G295" s="4">
        <v>82</v>
      </c>
      <c r="H295" s="4">
        <v>71</v>
      </c>
      <c r="I295" s="4">
        <v>16.61</v>
      </c>
      <c r="J295" s="4">
        <v>12.21</v>
      </c>
      <c r="K295" s="4">
        <v>5</v>
      </c>
      <c r="L295" s="4">
        <v>1161.31</v>
      </c>
    </row>
    <row r="296" spans="1:12" x14ac:dyDescent="0.3">
      <c r="A296" s="2" t="s">
        <v>353</v>
      </c>
      <c r="B296" s="3">
        <v>45122</v>
      </c>
      <c r="C296" s="3">
        <v>45124</v>
      </c>
      <c r="D296" s="2" t="s">
        <v>40</v>
      </c>
      <c r="E296" s="2" t="s">
        <v>41</v>
      </c>
      <c r="F296" s="2" t="s">
        <v>27</v>
      </c>
      <c r="G296" s="2">
        <v>201</v>
      </c>
      <c r="H296" s="2">
        <v>201</v>
      </c>
      <c r="I296" s="2">
        <v>18.25</v>
      </c>
      <c r="J296" s="2">
        <v>11.06</v>
      </c>
      <c r="K296" s="2">
        <v>4</v>
      </c>
      <c r="L296" s="2">
        <v>3179.1</v>
      </c>
    </row>
    <row r="297" spans="1:12" x14ac:dyDescent="0.3">
      <c r="A297" s="4" t="s">
        <v>354</v>
      </c>
      <c r="B297" s="5">
        <v>45242</v>
      </c>
      <c r="C297" s="5">
        <v>45244</v>
      </c>
      <c r="D297" s="4" t="s">
        <v>21</v>
      </c>
      <c r="E297" s="4" t="s">
        <v>48</v>
      </c>
      <c r="F297" s="4" t="s">
        <v>38</v>
      </c>
      <c r="G297" s="4">
        <v>275</v>
      </c>
      <c r="H297" s="4">
        <v>275</v>
      </c>
      <c r="I297" s="4">
        <v>6.78</v>
      </c>
      <c r="J297" s="4">
        <v>3.81</v>
      </c>
      <c r="K297" s="4">
        <v>3</v>
      </c>
      <c r="L297" s="4">
        <v>1118.8599999999999</v>
      </c>
    </row>
    <row r="298" spans="1:12" x14ac:dyDescent="0.3">
      <c r="A298" s="2" t="s">
        <v>355</v>
      </c>
      <c r="B298" s="3">
        <v>45256</v>
      </c>
      <c r="C298" s="3">
        <v>45257</v>
      </c>
      <c r="D298" s="2" t="s">
        <v>56</v>
      </c>
      <c r="E298" s="2" t="s">
        <v>41</v>
      </c>
      <c r="F298" s="2" t="s">
        <v>19</v>
      </c>
      <c r="G298" s="2">
        <v>342</v>
      </c>
      <c r="H298" s="2">
        <v>342</v>
      </c>
      <c r="I298" s="2">
        <v>22.52</v>
      </c>
      <c r="J298" s="2">
        <v>12.47</v>
      </c>
      <c r="K298" s="2">
        <v>2</v>
      </c>
      <c r="L298" s="2">
        <v>4817.0200000000004</v>
      </c>
    </row>
    <row r="299" spans="1:12" x14ac:dyDescent="0.3">
      <c r="A299" s="4" t="s">
        <v>356</v>
      </c>
      <c r="B299" s="5">
        <v>45175</v>
      </c>
      <c r="C299" s="5">
        <v>45180</v>
      </c>
      <c r="D299" s="4" t="s">
        <v>29</v>
      </c>
      <c r="E299" s="4" t="s">
        <v>41</v>
      </c>
      <c r="F299" s="4" t="s">
        <v>38</v>
      </c>
      <c r="G299" s="4">
        <v>277</v>
      </c>
      <c r="H299" s="4">
        <v>277</v>
      </c>
      <c r="I299" s="4">
        <v>19.25</v>
      </c>
      <c r="J299" s="4">
        <v>10.69</v>
      </c>
      <c r="K299" s="4">
        <v>6</v>
      </c>
      <c r="L299" s="4">
        <v>3725.9</v>
      </c>
    </row>
    <row r="300" spans="1:12" x14ac:dyDescent="0.3">
      <c r="A300" s="2" t="s">
        <v>357</v>
      </c>
      <c r="B300" s="3">
        <v>45168</v>
      </c>
      <c r="C300" s="3">
        <v>45171</v>
      </c>
      <c r="D300" s="2" t="s">
        <v>33</v>
      </c>
      <c r="E300" s="2" t="s">
        <v>34</v>
      </c>
      <c r="F300" s="2" t="s">
        <v>27</v>
      </c>
      <c r="G300" s="2">
        <v>139</v>
      </c>
      <c r="H300" s="2">
        <v>139</v>
      </c>
      <c r="I300" s="2">
        <v>12.9</v>
      </c>
      <c r="J300" s="2">
        <v>8.7899999999999991</v>
      </c>
      <c r="K300" s="2">
        <v>3</v>
      </c>
      <c r="L300" s="2">
        <v>1295.02</v>
      </c>
    </row>
    <row r="301" spans="1:12" x14ac:dyDescent="0.3">
      <c r="A301" s="4" t="s">
        <v>358</v>
      </c>
      <c r="B301" s="5">
        <v>45125</v>
      </c>
      <c r="C301" s="5">
        <v>45122</v>
      </c>
      <c r="D301" s="4" t="s">
        <v>33</v>
      </c>
      <c r="E301" s="4" t="s">
        <v>18</v>
      </c>
      <c r="F301" s="4" t="s">
        <v>38</v>
      </c>
      <c r="G301" s="4">
        <v>110</v>
      </c>
      <c r="H301" s="4">
        <v>110</v>
      </c>
      <c r="I301" s="4">
        <v>7.93</v>
      </c>
      <c r="J301" s="4">
        <v>5.53</v>
      </c>
      <c r="K301" s="4">
        <v>3</v>
      </c>
      <c r="L301" s="4">
        <v>678.42</v>
      </c>
    </row>
    <row r="302" spans="1:12" x14ac:dyDescent="0.3">
      <c r="A302" s="2" t="s">
        <v>359</v>
      </c>
      <c r="B302" s="3">
        <v>45215</v>
      </c>
      <c r="C302" s="3">
        <v>45216</v>
      </c>
      <c r="D302" s="2" t="s">
        <v>33</v>
      </c>
      <c r="E302" s="2" t="s">
        <v>34</v>
      </c>
      <c r="F302" s="2" t="s">
        <v>38</v>
      </c>
      <c r="G302" s="2">
        <v>272</v>
      </c>
      <c r="H302" s="2">
        <v>272</v>
      </c>
      <c r="I302" s="2">
        <v>13.58</v>
      </c>
      <c r="J302" s="2">
        <v>7.57</v>
      </c>
      <c r="K302" s="2">
        <v>3</v>
      </c>
      <c r="L302" s="2">
        <v>1922.53</v>
      </c>
    </row>
    <row r="303" spans="1:12" x14ac:dyDescent="0.3">
      <c r="A303" s="4" t="s">
        <v>360</v>
      </c>
      <c r="B303" s="5">
        <v>45171</v>
      </c>
      <c r="C303" s="5">
        <v>45176</v>
      </c>
      <c r="D303" s="4" t="s">
        <v>127</v>
      </c>
      <c r="E303" s="4" t="s">
        <v>14</v>
      </c>
      <c r="F303" s="4" t="s">
        <v>38</v>
      </c>
      <c r="G303" s="4">
        <v>123</v>
      </c>
      <c r="H303" s="4">
        <v>123</v>
      </c>
      <c r="I303" s="4">
        <v>12.05</v>
      </c>
      <c r="J303" s="4">
        <v>7.06</v>
      </c>
      <c r="K303" s="4">
        <v>5</v>
      </c>
      <c r="L303" s="4">
        <v>1199.6300000000001</v>
      </c>
    </row>
    <row r="304" spans="1:12" x14ac:dyDescent="0.3">
      <c r="A304" s="2" t="s">
        <v>361</v>
      </c>
      <c r="B304" s="3">
        <v>45002</v>
      </c>
      <c r="C304" s="3">
        <v>45004</v>
      </c>
      <c r="D304" s="2" t="s">
        <v>29</v>
      </c>
      <c r="E304" s="2" t="s">
        <v>14</v>
      </c>
      <c r="F304" s="2" t="s">
        <v>27</v>
      </c>
      <c r="G304" s="2">
        <v>76</v>
      </c>
      <c r="H304" s="2">
        <v>76</v>
      </c>
      <c r="I304" s="2">
        <v>15.8</v>
      </c>
      <c r="J304" s="2">
        <v>11.73</v>
      </c>
      <c r="K304" s="2">
        <v>6</v>
      </c>
      <c r="L304" s="2">
        <v>1002.16</v>
      </c>
    </row>
    <row r="305" spans="1:12" x14ac:dyDescent="0.3">
      <c r="A305" s="4" t="s">
        <v>362</v>
      </c>
      <c r="B305" s="5">
        <v>45099</v>
      </c>
      <c r="C305" s="5">
        <v>45101</v>
      </c>
      <c r="D305" s="4" t="s">
        <v>40</v>
      </c>
      <c r="E305" s="4" t="s">
        <v>48</v>
      </c>
      <c r="F305" s="4" t="s">
        <v>27</v>
      </c>
      <c r="G305" s="4">
        <v>100</v>
      </c>
      <c r="H305" s="4">
        <v>100</v>
      </c>
      <c r="I305" s="4">
        <v>6.37</v>
      </c>
      <c r="J305" s="4">
        <v>4.32</v>
      </c>
      <c r="K305" s="4">
        <v>4</v>
      </c>
      <c r="L305" s="4">
        <v>515.08000000000004</v>
      </c>
    </row>
    <row r="306" spans="1:12" x14ac:dyDescent="0.3">
      <c r="A306" s="2" t="s">
        <v>363</v>
      </c>
      <c r="B306" s="3">
        <v>45282</v>
      </c>
      <c r="C306" s="3">
        <v>45287</v>
      </c>
      <c r="D306" s="2" t="s">
        <v>29</v>
      </c>
      <c r="E306" s="2" t="s">
        <v>18</v>
      </c>
      <c r="F306" s="2" t="s">
        <v>38</v>
      </c>
      <c r="G306" s="2">
        <v>202</v>
      </c>
      <c r="H306" s="2">
        <v>202</v>
      </c>
      <c r="I306" s="2">
        <v>9.23</v>
      </c>
      <c r="J306" s="2">
        <v>5.4</v>
      </c>
      <c r="K306" s="2">
        <v>6</v>
      </c>
      <c r="L306" s="2">
        <v>1182.53</v>
      </c>
    </row>
    <row r="307" spans="1:12" x14ac:dyDescent="0.3">
      <c r="A307" s="4" t="s">
        <v>364</v>
      </c>
      <c r="B307" s="5">
        <v>44927</v>
      </c>
      <c r="C307" s="5">
        <v>44930</v>
      </c>
      <c r="D307" s="4" t="s">
        <v>50</v>
      </c>
      <c r="E307" s="4" t="s">
        <v>18</v>
      </c>
      <c r="F307" s="4" t="s">
        <v>19</v>
      </c>
      <c r="G307" s="4">
        <v>220</v>
      </c>
      <c r="H307" s="4">
        <v>220</v>
      </c>
      <c r="I307" s="4">
        <v>10.1</v>
      </c>
      <c r="J307" s="4">
        <v>6.7</v>
      </c>
      <c r="K307" s="4">
        <v>3</v>
      </c>
      <c r="L307" s="4">
        <v>1487.63</v>
      </c>
    </row>
    <row r="308" spans="1:12" x14ac:dyDescent="0.3">
      <c r="A308" s="2" t="s">
        <v>365</v>
      </c>
      <c r="B308" s="3">
        <v>45254</v>
      </c>
      <c r="C308" s="3">
        <v>45258</v>
      </c>
      <c r="D308" s="2" t="s">
        <v>29</v>
      </c>
      <c r="E308" s="2" t="s">
        <v>48</v>
      </c>
      <c r="F308" s="2" t="s">
        <v>19</v>
      </c>
      <c r="G308" s="2">
        <v>92</v>
      </c>
      <c r="H308" s="2">
        <v>92</v>
      </c>
      <c r="I308" s="2">
        <v>5.08</v>
      </c>
      <c r="J308" s="2">
        <v>3.15</v>
      </c>
      <c r="K308" s="2">
        <v>6</v>
      </c>
      <c r="L308" s="2">
        <v>316.38</v>
      </c>
    </row>
    <row r="309" spans="1:12" x14ac:dyDescent="0.3">
      <c r="A309" s="4" t="s">
        <v>366</v>
      </c>
      <c r="B309" s="5">
        <v>44932</v>
      </c>
      <c r="C309" s="5">
        <v>44934</v>
      </c>
      <c r="D309" s="4" t="s">
        <v>284</v>
      </c>
      <c r="E309" s="4" t="s">
        <v>34</v>
      </c>
      <c r="F309" s="4" t="s">
        <v>22</v>
      </c>
      <c r="G309" s="4">
        <v>374</v>
      </c>
      <c r="H309" s="4">
        <v>374</v>
      </c>
      <c r="I309" s="4">
        <v>14.31</v>
      </c>
      <c r="J309" s="4">
        <v>8.18</v>
      </c>
      <c r="K309" s="4">
        <v>4</v>
      </c>
      <c r="L309" s="4">
        <v>2755.74</v>
      </c>
    </row>
    <row r="310" spans="1:12" x14ac:dyDescent="0.3">
      <c r="A310" s="2" t="s">
        <v>367</v>
      </c>
      <c r="B310" s="3">
        <v>45012</v>
      </c>
      <c r="C310" s="3">
        <v>45016</v>
      </c>
      <c r="D310" s="2" t="s">
        <v>140</v>
      </c>
      <c r="E310" s="2" t="s">
        <v>41</v>
      </c>
      <c r="F310" s="2" t="s">
        <v>22</v>
      </c>
      <c r="G310" s="2">
        <v>213</v>
      </c>
      <c r="H310" s="2">
        <v>213</v>
      </c>
      <c r="I310" s="2">
        <v>20.5</v>
      </c>
      <c r="J310" s="2">
        <v>14.67</v>
      </c>
      <c r="K310" s="2">
        <v>4</v>
      </c>
      <c r="L310" s="2">
        <v>4290.97</v>
      </c>
    </row>
    <row r="311" spans="1:12" x14ac:dyDescent="0.3">
      <c r="A311" s="4" t="s">
        <v>368</v>
      </c>
      <c r="B311" s="5">
        <v>44964</v>
      </c>
      <c r="C311" s="5">
        <v>44965</v>
      </c>
      <c r="D311" s="4" t="s">
        <v>26</v>
      </c>
      <c r="E311" s="4" t="s">
        <v>18</v>
      </c>
      <c r="F311" s="4" t="s">
        <v>22</v>
      </c>
      <c r="G311" s="4">
        <v>170</v>
      </c>
      <c r="H311" s="4">
        <v>134</v>
      </c>
      <c r="I311" s="4">
        <v>10.97</v>
      </c>
      <c r="J311" s="4">
        <v>6.2</v>
      </c>
      <c r="K311" s="4">
        <v>5</v>
      </c>
      <c r="L311" s="4">
        <v>1056.17</v>
      </c>
    </row>
    <row r="312" spans="1:12" x14ac:dyDescent="0.3">
      <c r="A312" s="2" t="s">
        <v>369</v>
      </c>
      <c r="B312" s="3">
        <v>45207</v>
      </c>
      <c r="C312" s="3">
        <v>45212</v>
      </c>
      <c r="D312" s="2" t="s">
        <v>40</v>
      </c>
      <c r="E312" s="2" t="s">
        <v>18</v>
      </c>
      <c r="F312" s="2" t="s">
        <v>27</v>
      </c>
      <c r="G312" s="2">
        <v>193</v>
      </c>
      <c r="H312" s="2">
        <v>193</v>
      </c>
      <c r="I312" s="2">
        <v>9.35</v>
      </c>
      <c r="J312" s="2">
        <v>6.05</v>
      </c>
      <c r="K312" s="2">
        <v>4</v>
      </c>
      <c r="L312" s="2">
        <v>1072.5999999999999</v>
      </c>
    </row>
    <row r="313" spans="1:12" x14ac:dyDescent="0.3">
      <c r="A313" s="4" t="s">
        <v>370</v>
      </c>
      <c r="B313" s="5">
        <v>45007</v>
      </c>
      <c r="C313" s="5">
        <v>45009</v>
      </c>
      <c r="D313" s="4" t="s">
        <v>371</v>
      </c>
      <c r="E313" s="4" t="s">
        <v>48</v>
      </c>
      <c r="F313" s="4" t="s">
        <v>22</v>
      </c>
      <c r="G313" s="4">
        <v>125</v>
      </c>
      <c r="H313" s="4">
        <v>125</v>
      </c>
      <c r="I313" s="4">
        <v>6.27</v>
      </c>
      <c r="J313" s="4">
        <v>4.1399999999999997</v>
      </c>
      <c r="K313" s="4">
        <v>2</v>
      </c>
      <c r="L313" s="4">
        <v>753.14</v>
      </c>
    </row>
    <row r="314" spans="1:12" x14ac:dyDescent="0.3">
      <c r="A314" s="2" t="s">
        <v>372</v>
      </c>
      <c r="B314" s="3">
        <v>45048</v>
      </c>
      <c r="C314" s="3">
        <v>45050</v>
      </c>
      <c r="D314" s="2" t="s">
        <v>50</v>
      </c>
      <c r="E314" s="2" t="s">
        <v>34</v>
      </c>
      <c r="F314" s="2" t="s">
        <v>15</v>
      </c>
      <c r="G314" s="2">
        <v>312</v>
      </c>
      <c r="H314" s="2">
        <v>312</v>
      </c>
      <c r="I314" s="2">
        <v>16.420000000000002</v>
      </c>
      <c r="J314" s="2">
        <v>9.2100000000000009</v>
      </c>
      <c r="K314" s="2">
        <v>3</v>
      </c>
      <c r="L314" s="2">
        <v>2592.75</v>
      </c>
    </row>
    <row r="315" spans="1:12" x14ac:dyDescent="0.3">
      <c r="A315" s="4" t="s">
        <v>373</v>
      </c>
      <c r="B315" s="5">
        <v>45172</v>
      </c>
      <c r="C315" s="5">
        <v>45173</v>
      </c>
      <c r="D315" s="4" t="s">
        <v>13</v>
      </c>
      <c r="E315" s="4" t="s">
        <v>34</v>
      </c>
      <c r="F315" s="4" t="s">
        <v>38</v>
      </c>
      <c r="G315" s="4">
        <v>125</v>
      </c>
      <c r="H315" s="4">
        <v>125</v>
      </c>
      <c r="I315" s="4">
        <v>14.63</v>
      </c>
      <c r="J315" s="4">
        <v>8.2899999999999991</v>
      </c>
      <c r="K315" s="4">
        <v>4</v>
      </c>
      <c r="L315" s="4"/>
    </row>
    <row r="316" spans="1:12" x14ac:dyDescent="0.3">
      <c r="A316" s="2" t="s">
        <v>372</v>
      </c>
      <c r="B316" s="3">
        <v>45177</v>
      </c>
      <c r="C316" s="3">
        <v>45179</v>
      </c>
      <c r="D316" s="2" t="s">
        <v>50</v>
      </c>
      <c r="E316" s="2" t="s">
        <v>41</v>
      </c>
      <c r="F316" s="2" t="s">
        <v>22</v>
      </c>
      <c r="G316" s="2">
        <v>66</v>
      </c>
      <c r="H316" s="2">
        <v>66</v>
      </c>
      <c r="I316" s="2">
        <v>20.65</v>
      </c>
      <c r="J316" s="2">
        <v>12.89</v>
      </c>
      <c r="K316" s="2">
        <v>3</v>
      </c>
      <c r="L316" s="2">
        <v>960.37</v>
      </c>
    </row>
    <row r="317" spans="1:12" x14ac:dyDescent="0.3">
      <c r="A317" s="4" t="s">
        <v>374</v>
      </c>
      <c r="B317" s="5">
        <v>45061</v>
      </c>
      <c r="C317" s="5">
        <v>45063</v>
      </c>
      <c r="D317" s="4" t="s">
        <v>56</v>
      </c>
      <c r="E317" s="4" t="s">
        <v>41</v>
      </c>
      <c r="F317" s="4" t="s">
        <v>27</v>
      </c>
      <c r="G317" s="4">
        <v>135</v>
      </c>
      <c r="H317" s="4">
        <v>135</v>
      </c>
      <c r="I317" s="4" t="s">
        <v>375</v>
      </c>
      <c r="J317" s="4">
        <v>13.21</v>
      </c>
      <c r="K317" s="4">
        <v>2</v>
      </c>
      <c r="L317" s="4">
        <v>2350.25</v>
      </c>
    </row>
    <row r="318" spans="1:12" x14ac:dyDescent="0.3">
      <c r="A318" s="2" t="s">
        <v>376</v>
      </c>
      <c r="B318" s="3">
        <v>45204</v>
      </c>
      <c r="C318" s="3">
        <v>45206</v>
      </c>
      <c r="D318" s="2" t="s">
        <v>13</v>
      </c>
      <c r="E318" s="2" t="s">
        <v>14</v>
      </c>
      <c r="F318" s="2" t="s">
        <v>15</v>
      </c>
      <c r="G318" s="2">
        <v>303</v>
      </c>
      <c r="H318" s="2">
        <v>303</v>
      </c>
      <c r="I318" s="2">
        <v>12.39</v>
      </c>
      <c r="J318" s="2">
        <v>8.11</v>
      </c>
      <c r="K318" s="2">
        <v>4</v>
      </c>
      <c r="L318" s="2">
        <v>3635.32</v>
      </c>
    </row>
    <row r="319" spans="1:12" x14ac:dyDescent="0.3">
      <c r="A319" s="4" t="s">
        <v>377</v>
      </c>
      <c r="B319" s="5">
        <v>45170</v>
      </c>
      <c r="C319" s="5">
        <v>45174</v>
      </c>
      <c r="D319" s="4" t="s">
        <v>101</v>
      </c>
      <c r="E319" s="4" t="s">
        <v>48</v>
      </c>
      <c r="F319" s="4" t="s">
        <v>19</v>
      </c>
      <c r="G319" s="4">
        <v>385</v>
      </c>
      <c r="H319" s="4">
        <v>342</v>
      </c>
      <c r="I319" s="4">
        <v>8.0399999999999991</v>
      </c>
      <c r="J319" s="4">
        <v>5.71</v>
      </c>
      <c r="K319" s="4">
        <v>7</v>
      </c>
      <c r="L319" s="4">
        <v>2872.19</v>
      </c>
    </row>
    <row r="320" spans="1:12" x14ac:dyDescent="0.3">
      <c r="A320" s="2" t="s">
        <v>378</v>
      </c>
      <c r="B320" s="3">
        <v>45015</v>
      </c>
      <c r="C320" s="3">
        <v>45016</v>
      </c>
      <c r="D320" s="2" t="s">
        <v>371</v>
      </c>
      <c r="E320" s="2" t="s">
        <v>14</v>
      </c>
      <c r="F320" s="2" t="s">
        <v>22</v>
      </c>
      <c r="G320" s="2">
        <v>128</v>
      </c>
      <c r="H320" s="2">
        <v>128</v>
      </c>
      <c r="I320" s="2">
        <v>10.51</v>
      </c>
      <c r="J320" s="2">
        <v>6.67</v>
      </c>
      <c r="K320" s="2">
        <v>2</v>
      </c>
      <c r="L320" s="2">
        <v>1274.6400000000001</v>
      </c>
    </row>
    <row r="321" spans="1:12" x14ac:dyDescent="0.3">
      <c r="A321" s="4" t="s">
        <v>379</v>
      </c>
      <c r="B321" s="5">
        <v>45231</v>
      </c>
      <c r="C321" s="5">
        <v>45232</v>
      </c>
      <c r="D321" s="4" t="s">
        <v>40</v>
      </c>
      <c r="E321" s="4" t="s">
        <v>18</v>
      </c>
      <c r="F321" s="4" t="s">
        <v>19</v>
      </c>
      <c r="G321" s="4">
        <v>64</v>
      </c>
      <c r="H321" s="4">
        <v>64</v>
      </c>
      <c r="I321" s="4">
        <v>8.31</v>
      </c>
      <c r="J321" s="4">
        <v>5.1100000000000003</v>
      </c>
      <c r="K321" s="4">
        <v>4</v>
      </c>
      <c r="L321" s="4">
        <v>348.53</v>
      </c>
    </row>
    <row r="322" spans="1:12" x14ac:dyDescent="0.3">
      <c r="A322" s="2" t="s">
        <v>380</v>
      </c>
      <c r="B322" s="3">
        <v>45227</v>
      </c>
      <c r="C322" s="3">
        <v>45231</v>
      </c>
      <c r="D322" s="2" t="s">
        <v>101</v>
      </c>
      <c r="E322" s="2" t="s">
        <v>14</v>
      </c>
      <c r="F322" s="2" t="s">
        <v>38</v>
      </c>
      <c r="G322" s="2">
        <v>77</v>
      </c>
      <c r="H322" s="2">
        <v>77</v>
      </c>
      <c r="I322" s="2" t="s">
        <v>381</v>
      </c>
      <c r="J322" s="2">
        <v>7.12</v>
      </c>
      <c r="K322" s="2">
        <v>7</v>
      </c>
      <c r="L322" s="2">
        <v>742.88</v>
      </c>
    </row>
    <row r="323" spans="1:12" x14ac:dyDescent="0.3">
      <c r="A323" s="4" t="s">
        <v>382</v>
      </c>
      <c r="B323" s="5">
        <v>44978</v>
      </c>
      <c r="C323" s="5">
        <v>44981</v>
      </c>
      <c r="D323" s="4" t="s">
        <v>284</v>
      </c>
      <c r="E323" s="4" t="s">
        <v>14</v>
      </c>
      <c r="F323" s="4" t="s">
        <v>38</v>
      </c>
      <c r="G323" s="4">
        <v>230</v>
      </c>
      <c r="H323" s="4">
        <v>230</v>
      </c>
      <c r="I323" s="4">
        <v>14.31</v>
      </c>
      <c r="J323" s="4">
        <v>9.51</v>
      </c>
      <c r="K323" s="4">
        <v>4</v>
      </c>
      <c r="L323" s="4">
        <v>2589.39</v>
      </c>
    </row>
    <row r="324" spans="1:12" x14ac:dyDescent="0.3">
      <c r="A324" s="2" t="s">
        <v>383</v>
      </c>
      <c r="B324" s="3">
        <v>45000</v>
      </c>
      <c r="C324" s="3">
        <v>45002</v>
      </c>
      <c r="D324" s="2" t="s">
        <v>56</v>
      </c>
      <c r="E324" s="2" t="s">
        <v>34</v>
      </c>
      <c r="F324" s="2" t="s">
        <v>22</v>
      </c>
      <c r="G324" s="2">
        <v>39</v>
      </c>
      <c r="H324" s="2">
        <v>39</v>
      </c>
      <c r="I324" s="2">
        <v>19.91</v>
      </c>
      <c r="J324" s="2">
        <v>13.7</v>
      </c>
      <c r="K324" s="2">
        <v>2</v>
      </c>
      <c r="L324" s="2">
        <v>496.67</v>
      </c>
    </row>
    <row r="325" spans="1:12" x14ac:dyDescent="0.3">
      <c r="A325" s="4" t="s">
        <v>384</v>
      </c>
      <c r="B325" s="5">
        <v>44937</v>
      </c>
      <c r="C325" s="5">
        <v>44944</v>
      </c>
      <c r="D325" s="4" t="s">
        <v>36</v>
      </c>
      <c r="E325" s="4" t="s">
        <v>34</v>
      </c>
      <c r="F325" s="4" t="s">
        <v>15</v>
      </c>
      <c r="G325" s="4">
        <v>175</v>
      </c>
      <c r="H325" s="4">
        <v>175</v>
      </c>
      <c r="I325" s="4">
        <v>19.59</v>
      </c>
      <c r="J325" s="4">
        <v>14.14</v>
      </c>
      <c r="K325" s="4">
        <v>7</v>
      </c>
      <c r="L325" s="4">
        <v>3243.85</v>
      </c>
    </row>
    <row r="326" spans="1:12" x14ac:dyDescent="0.3">
      <c r="A326" s="2" t="s">
        <v>385</v>
      </c>
      <c r="B326" s="3">
        <v>45153</v>
      </c>
      <c r="C326" s="3">
        <v>45156</v>
      </c>
      <c r="D326" s="2" t="s">
        <v>26</v>
      </c>
      <c r="E326" s="2" t="s">
        <v>18</v>
      </c>
      <c r="F326" s="2"/>
      <c r="G326" s="2">
        <v>157</v>
      </c>
      <c r="H326" s="2">
        <v>157</v>
      </c>
      <c r="I326" s="2">
        <v>9.3000000000000007</v>
      </c>
      <c r="J326" s="2">
        <v>5.28</v>
      </c>
      <c r="K326" s="2">
        <v>5</v>
      </c>
      <c r="L326" s="2">
        <v>965.76</v>
      </c>
    </row>
    <row r="327" spans="1:12" x14ac:dyDescent="0.3">
      <c r="A327" s="4" t="s">
        <v>386</v>
      </c>
      <c r="B327" s="5">
        <v>45118</v>
      </c>
      <c r="C327" s="5">
        <v>45120</v>
      </c>
      <c r="D327" s="4" t="s">
        <v>40</v>
      </c>
      <c r="E327" s="4" t="s">
        <v>41</v>
      </c>
      <c r="F327" s="4" t="s">
        <v>38</v>
      </c>
      <c r="G327" s="4">
        <v>53</v>
      </c>
      <c r="H327" s="4">
        <v>53</v>
      </c>
      <c r="I327" s="4">
        <v>22.08</v>
      </c>
      <c r="J327" s="4">
        <v>12.74</v>
      </c>
      <c r="K327" s="4">
        <v>4</v>
      </c>
      <c r="L327" s="4">
        <v>952.58</v>
      </c>
    </row>
    <row r="328" spans="1:12" x14ac:dyDescent="0.3">
      <c r="A328" s="2" t="s">
        <v>387</v>
      </c>
      <c r="B328" s="3">
        <v>45029</v>
      </c>
      <c r="C328" s="3">
        <v>45034</v>
      </c>
      <c r="D328" s="2" t="s">
        <v>33</v>
      </c>
      <c r="E328" s="2" t="s">
        <v>18</v>
      </c>
      <c r="F328" s="2" t="s">
        <v>19</v>
      </c>
      <c r="G328" s="2">
        <v>36</v>
      </c>
      <c r="H328" s="2">
        <v>36</v>
      </c>
      <c r="I328" s="2" t="s">
        <v>388</v>
      </c>
      <c r="J328" s="2">
        <v>7.47</v>
      </c>
      <c r="K328" s="2">
        <v>3</v>
      </c>
      <c r="L328" s="2">
        <v>286.23</v>
      </c>
    </row>
    <row r="329" spans="1:12" x14ac:dyDescent="0.3">
      <c r="A329" s="4" t="s">
        <v>389</v>
      </c>
      <c r="B329" s="5">
        <v>45252</v>
      </c>
      <c r="C329" s="5">
        <v>45258</v>
      </c>
      <c r="D329" s="4" t="s">
        <v>36</v>
      </c>
      <c r="E329" s="4" t="s">
        <v>48</v>
      </c>
      <c r="F329" s="4" t="s">
        <v>22</v>
      </c>
      <c r="G329" s="4">
        <v>35</v>
      </c>
      <c r="H329" s="4">
        <v>35</v>
      </c>
      <c r="I329" s="4" t="s">
        <v>390</v>
      </c>
      <c r="J329" s="4">
        <v>4.1900000000000004</v>
      </c>
      <c r="K329" s="4">
        <v>7</v>
      </c>
      <c r="L329" s="4">
        <v>216.5</v>
      </c>
    </row>
    <row r="330" spans="1:12" x14ac:dyDescent="0.3">
      <c r="A330" s="2" t="s">
        <v>391</v>
      </c>
      <c r="B330" s="3">
        <v>45106</v>
      </c>
      <c r="C330" s="3">
        <v>45113</v>
      </c>
      <c r="D330" s="2" t="s">
        <v>36</v>
      </c>
      <c r="E330" s="2" t="s">
        <v>48</v>
      </c>
      <c r="F330" s="2" t="s">
        <v>38</v>
      </c>
      <c r="G330" s="2">
        <v>152</v>
      </c>
      <c r="H330" s="2">
        <v>152</v>
      </c>
      <c r="I330" s="2">
        <v>7.28</v>
      </c>
      <c r="J330" s="2">
        <v>4.42</v>
      </c>
      <c r="K330" s="2">
        <v>7</v>
      </c>
      <c r="L330" s="2">
        <v>760.48</v>
      </c>
    </row>
    <row r="331" spans="1:12" x14ac:dyDescent="0.3">
      <c r="A331" s="4" t="s">
        <v>392</v>
      </c>
      <c r="B331" s="5">
        <v>45040</v>
      </c>
      <c r="C331" s="5">
        <v>45041</v>
      </c>
      <c r="D331" s="4" t="s">
        <v>56</v>
      </c>
      <c r="E331" s="4" t="s">
        <v>48</v>
      </c>
      <c r="F331" s="4" t="s">
        <v>19</v>
      </c>
      <c r="G331" s="4">
        <v>157</v>
      </c>
      <c r="H331" s="4">
        <v>157</v>
      </c>
      <c r="I331" s="4">
        <v>6.65</v>
      </c>
      <c r="J331" s="4">
        <v>4.8099999999999996</v>
      </c>
      <c r="K331" s="4">
        <v>2</v>
      </c>
      <c r="L331" s="4">
        <v>1117.8699999999999</v>
      </c>
    </row>
    <row r="332" spans="1:12" x14ac:dyDescent="0.3">
      <c r="A332" s="2" t="s">
        <v>393</v>
      </c>
      <c r="B332" s="3">
        <v>45258</v>
      </c>
      <c r="C332" s="3">
        <v>45259</v>
      </c>
      <c r="D332" s="2" t="s">
        <v>33</v>
      </c>
      <c r="E332" s="2" t="s">
        <v>41</v>
      </c>
      <c r="F332" s="2" t="s">
        <v>19</v>
      </c>
      <c r="G332" s="2">
        <v>134</v>
      </c>
      <c r="H332" s="2">
        <v>134</v>
      </c>
      <c r="I332" s="2">
        <v>25.66</v>
      </c>
      <c r="J332" s="2">
        <v>15.68</v>
      </c>
      <c r="K332" s="2">
        <v>3</v>
      </c>
      <c r="L332" s="2">
        <v>3110.11</v>
      </c>
    </row>
    <row r="333" spans="1:12" x14ac:dyDescent="0.3">
      <c r="A333" s="4" t="s">
        <v>394</v>
      </c>
      <c r="B333" s="5">
        <v>45105</v>
      </c>
      <c r="C333" s="5">
        <v>45106</v>
      </c>
      <c r="D333" s="4" t="s">
        <v>50</v>
      </c>
      <c r="E333" s="4" t="s">
        <v>41</v>
      </c>
      <c r="F333" s="4" t="s">
        <v>22</v>
      </c>
      <c r="G333" s="4">
        <v>258</v>
      </c>
      <c r="H333" s="4">
        <v>258</v>
      </c>
      <c r="I333" s="4">
        <v>22.25</v>
      </c>
      <c r="J333" s="4">
        <v>15.01</v>
      </c>
      <c r="K333" s="4">
        <v>3</v>
      </c>
      <c r="L333" s="4">
        <v>4843.41</v>
      </c>
    </row>
    <row r="334" spans="1:12" x14ac:dyDescent="0.3">
      <c r="A334" s="2" t="s">
        <v>395</v>
      </c>
      <c r="B334" s="3">
        <v>45214</v>
      </c>
      <c r="C334" s="3">
        <v>45217</v>
      </c>
      <c r="D334" s="2" t="s">
        <v>33</v>
      </c>
      <c r="E334" s="2" t="s">
        <v>48</v>
      </c>
      <c r="F334" s="2" t="s">
        <v>15</v>
      </c>
      <c r="G334" s="2">
        <v>164</v>
      </c>
      <c r="H334" s="2">
        <v>164</v>
      </c>
      <c r="I334" s="2">
        <v>5.19</v>
      </c>
      <c r="J334" s="2">
        <v>2.92</v>
      </c>
      <c r="K334" s="2">
        <v>3</v>
      </c>
      <c r="L334" s="2">
        <v>714.98</v>
      </c>
    </row>
    <row r="335" spans="1:12" x14ac:dyDescent="0.3">
      <c r="A335" s="4" t="s">
        <v>396</v>
      </c>
      <c r="B335" s="5">
        <v>45262</v>
      </c>
      <c r="C335" s="5">
        <v>45268</v>
      </c>
      <c r="D335" s="4" t="s">
        <v>29</v>
      </c>
      <c r="E335" s="4" t="s">
        <v>34</v>
      </c>
      <c r="F335" s="4" t="s">
        <v>15</v>
      </c>
      <c r="G335" s="4">
        <v>172</v>
      </c>
      <c r="H335" s="4">
        <v>172</v>
      </c>
      <c r="I335" s="4">
        <v>16.66</v>
      </c>
      <c r="J335" s="4">
        <v>9.9600000000000009</v>
      </c>
      <c r="K335" s="4">
        <v>6</v>
      </c>
      <c r="L335" s="4">
        <v>1600.17</v>
      </c>
    </row>
    <row r="336" spans="1:12" x14ac:dyDescent="0.3">
      <c r="A336" s="2" t="s">
        <v>397</v>
      </c>
      <c r="B336" s="3">
        <v>44940</v>
      </c>
      <c r="C336" s="3">
        <v>44943</v>
      </c>
      <c r="D336" s="2" t="s">
        <v>140</v>
      </c>
      <c r="E336" s="2" t="s">
        <v>34</v>
      </c>
      <c r="F336" s="2" t="s">
        <v>19</v>
      </c>
      <c r="G336" s="2">
        <v>152</v>
      </c>
      <c r="H336" s="2">
        <v>152</v>
      </c>
      <c r="I336" s="2">
        <v>15.64</v>
      </c>
      <c r="J336" s="2">
        <v>10.91</v>
      </c>
      <c r="K336" s="2">
        <v>4</v>
      </c>
      <c r="L336" s="2">
        <v>2072.59</v>
      </c>
    </row>
    <row r="337" spans="1:12" x14ac:dyDescent="0.3">
      <c r="A337" s="4" t="s">
        <v>398</v>
      </c>
      <c r="B337" s="5">
        <v>45278</v>
      </c>
      <c r="C337" s="5">
        <v>45282</v>
      </c>
      <c r="D337" s="4" t="s">
        <v>26</v>
      </c>
      <c r="E337" s="4" t="s">
        <v>34</v>
      </c>
      <c r="F337" s="4" t="s">
        <v>19</v>
      </c>
      <c r="G337" s="4">
        <v>363</v>
      </c>
      <c r="H337" s="4">
        <v>363</v>
      </c>
      <c r="I337" s="4">
        <v>14.7</v>
      </c>
      <c r="J337" s="4">
        <v>8.58</v>
      </c>
      <c r="K337" s="4">
        <v>5</v>
      </c>
      <c r="L337" s="4">
        <v>4031.99</v>
      </c>
    </row>
    <row r="338" spans="1:12" x14ac:dyDescent="0.3">
      <c r="A338" s="2" t="s">
        <v>399</v>
      </c>
      <c r="B338" s="3">
        <v>45168</v>
      </c>
      <c r="C338" s="3">
        <v>45170</v>
      </c>
      <c r="D338" s="2" t="s">
        <v>56</v>
      </c>
      <c r="E338" s="2" t="s">
        <v>34</v>
      </c>
      <c r="F338" s="2" t="s">
        <v>27</v>
      </c>
      <c r="G338" s="2">
        <v>391</v>
      </c>
      <c r="H338" s="2">
        <v>391</v>
      </c>
      <c r="I338" s="2">
        <v>18.87</v>
      </c>
      <c r="J338" s="2">
        <v>11.07</v>
      </c>
      <c r="K338" s="2">
        <v>2</v>
      </c>
      <c r="L338" s="2">
        <v>5660.76</v>
      </c>
    </row>
    <row r="339" spans="1:12" x14ac:dyDescent="0.3">
      <c r="A339" s="4" t="s">
        <v>400</v>
      </c>
      <c r="B339" s="5">
        <v>45108</v>
      </c>
      <c r="C339" s="5">
        <v>45111</v>
      </c>
      <c r="D339" s="4" t="s">
        <v>29</v>
      </c>
      <c r="E339" s="4" t="s">
        <v>14</v>
      </c>
      <c r="F339" s="4" t="s">
        <v>19</v>
      </c>
      <c r="G339" s="4">
        <v>235</v>
      </c>
      <c r="H339" s="4">
        <v>235</v>
      </c>
      <c r="I339" s="4">
        <v>11.99</v>
      </c>
      <c r="J339" s="4">
        <v>7.22</v>
      </c>
      <c r="K339" s="4">
        <v>6</v>
      </c>
      <c r="L339" s="4">
        <v>1826.38</v>
      </c>
    </row>
    <row r="340" spans="1:12" x14ac:dyDescent="0.3">
      <c r="A340" s="2" t="s">
        <v>401</v>
      </c>
      <c r="B340" s="3">
        <v>45251</v>
      </c>
      <c r="C340" s="3">
        <v>45252</v>
      </c>
      <c r="D340" s="2" t="s">
        <v>13</v>
      </c>
      <c r="E340" s="2" t="s">
        <v>41</v>
      </c>
      <c r="F340" s="2" t="s">
        <v>27</v>
      </c>
      <c r="G340" s="2">
        <v>261</v>
      </c>
      <c r="H340" s="2">
        <v>261</v>
      </c>
      <c r="I340" s="2">
        <v>22.01</v>
      </c>
      <c r="J340" s="2">
        <v>15.92</v>
      </c>
      <c r="K340" s="2">
        <v>4</v>
      </c>
      <c r="L340" s="2">
        <v>4691.1400000000003</v>
      </c>
    </row>
    <row r="341" spans="1:12" x14ac:dyDescent="0.3">
      <c r="A341" s="4" t="s">
        <v>402</v>
      </c>
      <c r="B341" s="5">
        <v>45004</v>
      </c>
      <c r="C341" s="5">
        <v>45005</v>
      </c>
      <c r="D341" s="4" t="s">
        <v>50</v>
      </c>
      <c r="E341" s="4" t="s">
        <v>41</v>
      </c>
      <c r="F341" s="4" t="s">
        <v>27</v>
      </c>
      <c r="G341" s="4">
        <v>195</v>
      </c>
      <c r="H341" s="4">
        <v>195</v>
      </c>
      <c r="I341" s="4">
        <v>22.83</v>
      </c>
      <c r="J341" s="4">
        <v>16.7</v>
      </c>
      <c r="K341" s="4">
        <v>3</v>
      </c>
      <c r="L341" s="4">
        <v>3824.9</v>
      </c>
    </row>
    <row r="342" spans="1:12" x14ac:dyDescent="0.3">
      <c r="A342" s="2" t="s">
        <v>403</v>
      </c>
      <c r="B342" s="3">
        <v>45176</v>
      </c>
      <c r="C342" s="3">
        <v>45178</v>
      </c>
      <c r="D342" s="2" t="s">
        <v>29</v>
      </c>
      <c r="E342" s="2" t="s">
        <v>18</v>
      </c>
      <c r="F342" s="2" t="s">
        <v>27</v>
      </c>
      <c r="G342" s="2">
        <v>180</v>
      </c>
      <c r="H342" s="2">
        <v>180</v>
      </c>
      <c r="I342" s="2">
        <v>6.42</v>
      </c>
      <c r="J342" s="2">
        <v>3.88</v>
      </c>
      <c r="K342" s="2">
        <v>6</v>
      </c>
      <c r="L342" s="2">
        <v>947.53</v>
      </c>
    </row>
    <row r="343" spans="1:12" x14ac:dyDescent="0.3">
      <c r="A343" s="4" t="s">
        <v>404</v>
      </c>
      <c r="B343" s="5">
        <v>45177</v>
      </c>
      <c r="C343" s="5">
        <v>45178</v>
      </c>
      <c r="D343" s="4" t="s">
        <v>371</v>
      </c>
      <c r="E343" s="4" t="s">
        <v>48</v>
      </c>
      <c r="F343" s="4" t="s">
        <v>19</v>
      </c>
      <c r="G343" s="4">
        <v>86</v>
      </c>
      <c r="H343" s="4">
        <v>86</v>
      </c>
      <c r="I343" s="4">
        <v>7.08</v>
      </c>
      <c r="J343" s="4">
        <v>4.47</v>
      </c>
      <c r="K343" s="4">
        <v>2</v>
      </c>
      <c r="L343" s="4">
        <v>568.63</v>
      </c>
    </row>
    <row r="344" spans="1:12" x14ac:dyDescent="0.3">
      <c r="A344" s="2" t="s">
        <v>405</v>
      </c>
      <c r="B344" s="3">
        <v>45200</v>
      </c>
      <c r="C344" s="3">
        <v>45203</v>
      </c>
      <c r="D344" s="2" t="s">
        <v>40</v>
      </c>
      <c r="E344" s="2" t="s">
        <v>14</v>
      </c>
      <c r="F344" s="2" t="s">
        <v>27</v>
      </c>
      <c r="G344" s="2">
        <v>27</v>
      </c>
      <c r="H344" s="2">
        <v>27</v>
      </c>
      <c r="I344" s="2">
        <v>15.05</v>
      </c>
      <c r="J344" s="2">
        <v>9.8800000000000008</v>
      </c>
      <c r="K344" s="2">
        <v>4</v>
      </c>
      <c r="L344" s="2">
        <v>242.95</v>
      </c>
    </row>
    <row r="345" spans="1:12" x14ac:dyDescent="0.3">
      <c r="A345" s="4" t="s">
        <v>406</v>
      </c>
      <c r="B345" s="5">
        <v>45282</v>
      </c>
      <c r="C345" s="5">
        <v>45288</v>
      </c>
      <c r="D345" s="4" t="s">
        <v>33</v>
      </c>
      <c r="E345" s="4" t="s">
        <v>18</v>
      </c>
      <c r="F345" s="4" t="s">
        <v>19</v>
      </c>
      <c r="G345" s="4">
        <v>86</v>
      </c>
      <c r="H345" s="4">
        <v>86</v>
      </c>
      <c r="I345" s="4">
        <v>8.82</v>
      </c>
      <c r="J345" s="4">
        <v>5.39</v>
      </c>
      <c r="K345" s="4">
        <v>3</v>
      </c>
      <c r="L345" s="4">
        <v>435.34</v>
      </c>
    </row>
    <row r="346" spans="1:12" x14ac:dyDescent="0.3">
      <c r="A346" s="2" t="s">
        <v>407</v>
      </c>
      <c r="B346" s="3">
        <v>45160</v>
      </c>
      <c r="C346" s="3">
        <v>45168</v>
      </c>
      <c r="D346" s="2" t="s">
        <v>33</v>
      </c>
      <c r="E346" s="2" t="s">
        <v>34</v>
      </c>
      <c r="F346" s="2" t="s">
        <v>15</v>
      </c>
      <c r="G346" s="2">
        <v>288</v>
      </c>
      <c r="H346" s="2">
        <v>288</v>
      </c>
      <c r="I346" s="2">
        <v>19.989999999999998</v>
      </c>
      <c r="J346" s="2">
        <v>14.97</v>
      </c>
      <c r="K346" s="2">
        <v>3</v>
      </c>
      <c r="L346" s="2">
        <v>4766.8100000000004</v>
      </c>
    </row>
    <row r="347" spans="1:12" x14ac:dyDescent="0.3">
      <c r="A347" s="4" t="s">
        <v>408</v>
      </c>
      <c r="B347" s="5">
        <v>45011</v>
      </c>
      <c r="C347" s="5">
        <v>45018</v>
      </c>
      <c r="D347" s="4" t="s">
        <v>36</v>
      </c>
      <c r="E347" s="4" t="s">
        <v>34</v>
      </c>
      <c r="F347" s="4" t="s">
        <v>19</v>
      </c>
      <c r="G347" s="4">
        <v>226</v>
      </c>
      <c r="H347" s="4">
        <v>186</v>
      </c>
      <c r="I347" s="4">
        <v>18.54</v>
      </c>
      <c r="J347" s="4">
        <v>10.68</v>
      </c>
      <c r="K347" s="4">
        <v>7</v>
      </c>
      <c r="L347" s="4">
        <v>3235.41</v>
      </c>
    </row>
    <row r="348" spans="1:12" x14ac:dyDescent="0.3">
      <c r="A348" s="2" t="s">
        <v>409</v>
      </c>
      <c r="B348" s="3">
        <v>45291</v>
      </c>
      <c r="C348" s="3">
        <v>45292</v>
      </c>
      <c r="D348" s="2" t="s">
        <v>56</v>
      </c>
      <c r="E348" s="2" t="s">
        <v>14</v>
      </c>
      <c r="F348" s="2" t="s">
        <v>15</v>
      </c>
      <c r="G348" s="2">
        <v>212</v>
      </c>
      <c r="H348" s="2">
        <v>212</v>
      </c>
      <c r="I348" s="2">
        <v>11.44</v>
      </c>
      <c r="J348" s="2">
        <v>7.52</v>
      </c>
      <c r="K348" s="2">
        <v>2</v>
      </c>
      <c r="L348" s="2">
        <v>1481.29</v>
      </c>
    </row>
    <row r="349" spans="1:12" x14ac:dyDescent="0.3">
      <c r="A349" s="4" t="s">
        <v>410</v>
      </c>
      <c r="B349" s="5">
        <v>44951</v>
      </c>
      <c r="C349" s="5">
        <v>44953</v>
      </c>
      <c r="D349" s="4" t="s">
        <v>33</v>
      </c>
      <c r="E349" s="4" t="s">
        <v>14</v>
      </c>
      <c r="F349" s="4" t="s">
        <v>27</v>
      </c>
      <c r="G349" s="4">
        <v>247</v>
      </c>
      <c r="H349" s="4">
        <v>247</v>
      </c>
      <c r="I349" s="4">
        <v>13.54</v>
      </c>
      <c r="J349" s="4">
        <v>8.73</v>
      </c>
      <c r="K349" s="4">
        <v>3</v>
      </c>
      <c r="L349" s="4">
        <v>2138.79</v>
      </c>
    </row>
    <row r="350" spans="1:12" x14ac:dyDescent="0.3">
      <c r="A350" s="2" t="s">
        <v>411</v>
      </c>
      <c r="B350" s="3">
        <v>45265</v>
      </c>
      <c r="C350" s="3">
        <v>45268</v>
      </c>
      <c r="D350" s="2" t="s">
        <v>33</v>
      </c>
      <c r="E350" s="2" t="s">
        <v>34</v>
      </c>
      <c r="F350" s="2" t="s">
        <v>22</v>
      </c>
      <c r="G350" s="2">
        <v>158</v>
      </c>
      <c r="H350" s="2">
        <v>158</v>
      </c>
      <c r="I350" s="2">
        <v>18.309999999999999</v>
      </c>
      <c r="J350" s="2">
        <v>11.6</v>
      </c>
      <c r="K350" s="2">
        <v>3</v>
      </c>
      <c r="L350" s="2">
        <v>2637.72</v>
      </c>
    </row>
    <row r="351" spans="1:12" x14ac:dyDescent="0.3">
      <c r="A351" s="4" t="s">
        <v>412</v>
      </c>
      <c r="B351" s="5">
        <v>44981</v>
      </c>
      <c r="C351" s="5">
        <v>44983</v>
      </c>
      <c r="D351" s="4" t="s">
        <v>13</v>
      </c>
      <c r="E351" s="4" t="s">
        <v>34</v>
      </c>
      <c r="F351" s="4" t="s">
        <v>27</v>
      </c>
      <c r="G351" s="4">
        <v>154</v>
      </c>
      <c r="H351" s="4">
        <v>154</v>
      </c>
      <c r="I351" s="4">
        <v>20.76</v>
      </c>
      <c r="J351" s="4">
        <v>12.9</v>
      </c>
      <c r="K351" s="4">
        <v>4</v>
      </c>
      <c r="L351" s="4">
        <v>2276.35</v>
      </c>
    </row>
    <row r="352" spans="1:12" x14ac:dyDescent="0.3">
      <c r="A352" s="2" t="s">
        <v>413</v>
      </c>
      <c r="B352" s="3">
        <v>45181</v>
      </c>
      <c r="C352" s="3">
        <v>45183</v>
      </c>
      <c r="D352" s="2" t="s">
        <v>56</v>
      </c>
      <c r="E352" s="2" t="s">
        <v>14</v>
      </c>
      <c r="F352" s="2" t="s">
        <v>38</v>
      </c>
      <c r="G352" s="2">
        <v>189</v>
      </c>
      <c r="H352" s="2">
        <v>189</v>
      </c>
      <c r="I352" s="2">
        <v>9.69</v>
      </c>
      <c r="J352" s="2">
        <v>5.5</v>
      </c>
      <c r="K352" s="2">
        <v>2</v>
      </c>
      <c r="L352" s="2">
        <v>1004.43</v>
      </c>
    </row>
    <row r="353" spans="1:12" x14ac:dyDescent="0.3">
      <c r="A353" s="4" t="s">
        <v>414</v>
      </c>
      <c r="B353" s="5">
        <v>45188</v>
      </c>
      <c r="C353" s="5">
        <v>45194</v>
      </c>
      <c r="D353" s="4" t="s">
        <v>36</v>
      </c>
      <c r="E353" s="4" t="s">
        <v>18</v>
      </c>
      <c r="F353" s="4" t="s">
        <v>27</v>
      </c>
      <c r="G353" s="4">
        <v>71</v>
      </c>
      <c r="H353" s="4">
        <v>71</v>
      </c>
      <c r="I353" s="4">
        <v>9.49</v>
      </c>
      <c r="J353" s="4">
        <v>6.09</v>
      </c>
      <c r="K353" s="4">
        <v>7</v>
      </c>
      <c r="L353" s="4">
        <v>642.69000000000005</v>
      </c>
    </row>
    <row r="354" spans="1:12" x14ac:dyDescent="0.3">
      <c r="A354" s="2" t="s">
        <v>415</v>
      </c>
      <c r="B354" s="3">
        <v>44978</v>
      </c>
      <c r="C354" s="3">
        <v>44979</v>
      </c>
      <c r="D354" s="2" t="s">
        <v>50</v>
      </c>
      <c r="E354" s="2" t="s">
        <v>41</v>
      </c>
      <c r="F354" s="2" t="s">
        <v>27</v>
      </c>
      <c r="G354" s="2">
        <v>168</v>
      </c>
      <c r="H354" s="2">
        <v>168</v>
      </c>
      <c r="I354" s="2">
        <v>24.12</v>
      </c>
      <c r="J354" s="2">
        <v>15.32</v>
      </c>
      <c r="K354" s="2">
        <v>3</v>
      </c>
      <c r="L354" s="2">
        <v>2495.36</v>
      </c>
    </row>
    <row r="355" spans="1:12" x14ac:dyDescent="0.3">
      <c r="A355" s="4" t="s">
        <v>416</v>
      </c>
      <c r="B355" s="5">
        <v>45266</v>
      </c>
      <c r="C355" s="5">
        <v>45268</v>
      </c>
      <c r="D355" s="4" t="s">
        <v>33</v>
      </c>
      <c r="E355" s="4" t="s">
        <v>14</v>
      </c>
      <c r="F355" s="4" t="s">
        <v>19</v>
      </c>
      <c r="G355" s="4">
        <v>203</v>
      </c>
      <c r="H355" s="4">
        <v>203</v>
      </c>
      <c r="I355" s="4">
        <v>16.48</v>
      </c>
      <c r="J355" s="4">
        <v>9.9499999999999993</v>
      </c>
      <c r="K355" s="4">
        <v>3</v>
      </c>
      <c r="L355" s="4">
        <v>2706.28</v>
      </c>
    </row>
    <row r="356" spans="1:12" x14ac:dyDescent="0.3">
      <c r="A356" s="2" t="s">
        <v>417</v>
      </c>
      <c r="B356" s="3">
        <v>44985</v>
      </c>
      <c r="C356" s="3">
        <v>44989</v>
      </c>
      <c r="D356" s="2" t="s">
        <v>29</v>
      </c>
      <c r="E356" s="2" t="s">
        <v>34</v>
      </c>
      <c r="F356" s="2" t="s">
        <v>19</v>
      </c>
      <c r="G356" s="2">
        <v>159</v>
      </c>
      <c r="H356" s="2">
        <v>159</v>
      </c>
      <c r="I356" s="2">
        <v>18.21</v>
      </c>
      <c r="J356" s="2">
        <v>11.76</v>
      </c>
      <c r="K356" s="2">
        <v>6</v>
      </c>
      <c r="L356" s="2">
        <v>2156.0100000000002</v>
      </c>
    </row>
    <row r="357" spans="1:12" x14ac:dyDescent="0.3">
      <c r="A357" s="4" t="s">
        <v>418</v>
      </c>
      <c r="B357" s="5">
        <v>45283</v>
      </c>
      <c r="C357" s="5">
        <v>45284</v>
      </c>
      <c r="D357" s="4" t="s">
        <v>56</v>
      </c>
      <c r="E357" s="4" t="s">
        <v>14</v>
      </c>
      <c r="F357" s="4" t="s">
        <v>19</v>
      </c>
      <c r="G357" s="4">
        <v>73</v>
      </c>
      <c r="H357" s="4">
        <v>73</v>
      </c>
      <c r="I357" s="4">
        <v>13.85</v>
      </c>
      <c r="J357" s="4">
        <v>9.84</v>
      </c>
      <c r="K357" s="4">
        <v>2</v>
      </c>
      <c r="L357" s="4">
        <v>938.87</v>
      </c>
    </row>
    <row r="358" spans="1:12" x14ac:dyDescent="0.3">
      <c r="A358" s="2" t="s">
        <v>419</v>
      </c>
      <c r="B358" s="3">
        <v>45110</v>
      </c>
      <c r="C358" s="3">
        <v>45108</v>
      </c>
      <c r="D358" s="2" t="s">
        <v>56</v>
      </c>
      <c r="E358" s="2" t="s">
        <v>48</v>
      </c>
      <c r="F358" s="2" t="s">
        <v>22</v>
      </c>
      <c r="G358" s="2">
        <v>267</v>
      </c>
      <c r="H358" s="2">
        <v>267</v>
      </c>
      <c r="I358" s="2">
        <v>5.21</v>
      </c>
      <c r="J358" s="2">
        <v>3.29</v>
      </c>
      <c r="K358" s="2">
        <v>2</v>
      </c>
      <c r="L358" s="2">
        <v>814.82</v>
      </c>
    </row>
    <row r="359" spans="1:12" x14ac:dyDescent="0.3">
      <c r="A359" s="4" t="s">
        <v>420</v>
      </c>
      <c r="B359" s="5">
        <v>45287</v>
      </c>
      <c r="C359" s="5">
        <v>45290</v>
      </c>
      <c r="D359" s="4" t="s">
        <v>50</v>
      </c>
      <c r="E359" s="4" t="s">
        <v>34</v>
      </c>
      <c r="F359" s="4" t="s">
        <v>27</v>
      </c>
      <c r="G359" s="4">
        <v>400</v>
      </c>
      <c r="H359" s="4">
        <v>400</v>
      </c>
      <c r="I359" s="4">
        <v>17.09</v>
      </c>
      <c r="J359" s="4">
        <v>12.74</v>
      </c>
      <c r="K359" s="4">
        <v>3</v>
      </c>
      <c r="L359" s="4">
        <v>6634.52</v>
      </c>
    </row>
    <row r="360" spans="1:12" x14ac:dyDescent="0.3">
      <c r="A360" s="2" t="s">
        <v>421</v>
      </c>
      <c r="B360" s="2" t="s">
        <v>422</v>
      </c>
      <c r="C360" s="3">
        <v>45280</v>
      </c>
      <c r="D360" s="2" t="s">
        <v>29</v>
      </c>
      <c r="E360" s="2" t="s">
        <v>48</v>
      </c>
      <c r="F360" s="2" t="s">
        <v>38</v>
      </c>
      <c r="G360" s="2">
        <v>241</v>
      </c>
      <c r="H360" s="2">
        <v>241</v>
      </c>
      <c r="I360" s="2">
        <v>5.69</v>
      </c>
      <c r="J360" s="2">
        <v>3.52</v>
      </c>
      <c r="K360" s="2">
        <v>6</v>
      </c>
      <c r="L360" s="2">
        <v>1107.72</v>
      </c>
    </row>
    <row r="361" spans="1:12" x14ac:dyDescent="0.3">
      <c r="A361" s="4" t="s">
        <v>423</v>
      </c>
      <c r="B361" s="5">
        <v>45240</v>
      </c>
      <c r="C361" s="5">
        <v>45242</v>
      </c>
      <c r="D361" s="4" t="s">
        <v>40</v>
      </c>
      <c r="E361" s="4" t="s">
        <v>18</v>
      </c>
      <c r="F361" s="4" t="s">
        <v>38</v>
      </c>
      <c r="G361" s="4">
        <v>278</v>
      </c>
      <c r="H361" s="4">
        <v>306</v>
      </c>
      <c r="I361" s="4">
        <v>10.49</v>
      </c>
      <c r="J361" s="4">
        <v>7.59</v>
      </c>
      <c r="K361" s="4">
        <v>4</v>
      </c>
      <c r="L361" s="4">
        <v>1993.8</v>
      </c>
    </row>
    <row r="362" spans="1:12" x14ac:dyDescent="0.3">
      <c r="A362" s="2" t="s">
        <v>424</v>
      </c>
      <c r="B362" s="3">
        <v>45096</v>
      </c>
      <c r="C362" s="3">
        <v>45097</v>
      </c>
      <c r="D362" s="2" t="s">
        <v>36</v>
      </c>
      <c r="E362" s="2" t="s">
        <v>34</v>
      </c>
      <c r="F362" s="2" t="s">
        <v>19</v>
      </c>
      <c r="G362" s="2">
        <v>279</v>
      </c>
      <c r="H362" s="2">
        <v>279</v>
      </c>
      <c r="I362" s="2">
        <v>17.79</v>
      </c>
      <c r="J362" s="2">
        <v>11.22</v>
      </c>
      <c r="K362" s="2">
        <v>7</v>
      </c>
      <c r="L362" s="2">
        <v>3258.73</v>
      </c>
    </row>
    <row r="363" spans="1:12" x14ac:dyDescent="0.3">
      <c r="A363" s="4" t="s">
        <v>425</v>
      </c>
      <c r="B363" s="5">
        <v>45156</v>
      </c>
      <c r="C363" s="5">
        <v>45160</v>
      </c>
      <c r="D363" s="4" t="s">
        <v>36</v>
      </c>
      <c r="E363" s="4" t="s">
        <v>41</v>
      </c>
      <c r="F363" s="4"/>
      <c r="G363" s="4">
        <v>248</v>
      </c>
      <c r="H363" s="4">
        <v>248</v>
      </c>
      <c r="I363" s="4">
        <v>27.77</v>
      </c>
      <c r="J363" s="4">
        <v>19.41</v>
      </c>
      <c r="K363" s="4">
        <v>7</v>
      </c>
      <c r="L363" s="4">
        <v>4383.63</v>
      </c>
    </row>
    <row r="364" spans="1:12" x14ac:dyDescent="0.3">
      <c r="A364" s="2" t="s">
        <v>426</v>
      </c>
      <c r="B364" s="3">
        <v>45212</v>
      </c>
      <c r="C364" s="3">
        <v>45213</v>
      </c>
      <c r="D364" s="2" t="s">
        <v>40</v>
      </c>
      <c r="E364" s="2" t="s">
        <v>41</v>
      </c>
      <c r="F364" s="2" t="s">
        <v>27</v>
      </c>
      <c r="G364" s="2">
        <v>329</v>
      </c>
      <c r="H364" s="2">
        <v>329</v>
      </c>
      <c r="I364" s="2">
        <v>23.65</v>
      </c>
      <c r="J364" s="2">
        <v>17.22</v>
      </c>
      <c r="K364" s="2">
        <v>4</v>
      </c>
      <c r="L364" s="2"/>
    </row>
    <row r="365" spans="1:12" x14ac:dyDescent="0.3">
      <c r="A365" s="4" t="s">
        <v>427</v>
      </c>
      <c r="B365" s="5">
        <v>44954</v>
      </c>
      <c r="C365" s="5">
        <v>44961</v>
      </c>
      <c r="D365" s="4" t="s">
        <v>36</v>
      </c>
      <c r="E365" s="4" t="s">
        <v>34</v>
      </c>
      <c r="F365" s="4" t="s">
        <v>15</v>
      </c>
      <c r="G365" s="4">
        <v>252</v>
      </c>
      <c r="H365" s="4">
        <v>252</v>
      </c>
      <c r="I365" s="4">
        <v>18.91</v>
      </c>
      <c r="J365" s="4">
        <v>12.67</v>
      </c>
      <c r="K365" s="4">
        <v>7</v>
      </c>
      <c r="L365" s="4">
        <v>4246.46</v>
      </c>
    </row>
    <row r="366" spans="1:12" x14ac:dyDescent="0.3">
      <c r="A366" s="2" t="s">
        <v>428</v>
      </c>
      <c r="B366" s="3">
        <v>44976</v>
      </c>
      <c r="C366" s="3">
        <v>44978</v>
      </c>
      <c r="D366" s="2" t="s">
        <v>211</v>
      </c>
      <c r="E366" s="2" t="s">
        <v>41</v>
      </c>
      <c r="F366" s="2" t="s">
        <v>27</v>
      </c>
      <c r="G366" s="2">
        <v>21</v>
      </c>
      <c r="H366" s="2">
        <v>21</v>
      </c>
      <c r="I366" s="2">
        <v>25.96</v>
      </c>
      <c r="J366" s="2">
        <v>19.29</v>
      </c>
      <c r="K366" s="2">
        <v>6</v>
      </c>
      <c r="L366" s="2">
        <v>435.55</v>
      </c>
    </row>
    <row r="367" spans="1:12" x14ac:dyDescent="0.3">
      <c r="A367" s="4" t="s">
        <v>429</v>
      </c>
      <c r="B367" s="5">
        <v>45011</v>
      </c>
      <c r="C367" s="5">
        <v>45017</v>
      </c>
      <c r="D367" s="4" t="s">
        <v>29</v>
      </c>
      <c r="E367" s="4" t="s">
        <v>14</v>
      </c>
      <c r="F367" s="4" t="s">
        <v>27</v>
      </c>
      <c r="G367" s="4">
        <v>400</v>
      </c>
      <c r="H367" s="4">
        <v>400</v>
      </c>
      <c r="I367" s="4">
        <v>10.37</v>
      </c>
      <c r="J367" s="4">
        <v>6.97</v>
      </c>
      <c r="K367" s="4">
        <v>6</v>
      </c>
      <c r="L367" s="4">
        <v>2822.92</v>
      </c>
    </row>
    <row r="368" spans="1:12" x14ac:dyDescent="0.3">
      <c r="A368" s="2" t="s">
        <v>430</v>
      </c>
      <c r="B368" s="3">
        <v>45024</v>
      </c>
      <c r="C368" s="3">
        <v>45025</v>
      </c>
      <c r="D368" s="2" t="s">
        <v>40</v>
      </c>
      <c r="E368" s="2" t="s">
        <v>18</v>
      </c>
      <c r="F368" s="2" t="s">
        <v>22</v>
      </c>
      <c r="G368" s="2">
        <v>232</v>
      </c>
      <c r="H368" s="2">
        <v>177</v>
      </c>
      <c r="I368" s="2">
        <v>10.11</v>
      </c>
      <c r="J368" s="2">
        <v>6.47</v>
      </c>
      <c r="K368" s="2">
        <v>4</v>
      </c>
      <c r="L368" s="2">
        <v>1943.96</v>
      </c>
    </row>
    <row r="369" spans="1:12" x14ac:dyDescent="0.3">
      <c r="A369" s="4" t="s">
        <v>431</v>
      </c>
      <c r="B369" s="5">
        <v>45198</v>
      </c>
      <c r="C369" s="5">
        <v>45200</v>
      </c>
      <c r="D369" s="4" t="s">
        <v>56</v>
      </c>
      <c r="E369" s="4" t="s">
        <v>41</v>
      </c>
      <c r="F369" s="4" t="s">
        <v>27</v>
      </c>
      <c r="G369" s="4">
        <v>319</v>
      </c>
      <c r="H369" s="4">
        <v>319</v>
      </c>
      <c r="I369" s="4">
        <v>22.1</v>
      </c>
      <c r="J369" s="4">
        <v>16.23</v>
      </c>
      <c r="K369" s="4">
        <v>2</v>
      </c>
      <c r="L369" s="4">
        <v>5210.1000000000004</v>
      </c>
    </row>
    <row r="370" spans="1:12" x14ac:dyDescent="0.3">
      <c r="A370" s="2" t="s">
        <v>432</v>
      </c>
      <c r="B370" s="3">
        <v>45125</v>
      </c>
      <c r="C370" s="3">
        <v>45127</v>
      </c>
      <c r="D370" s="2" t="s">
        <v>56</v>
      </c>
      <c r="E370" s="2" t="s">
        <v>18</v>
      </c>
      <c r="F370" s="2" t="s">
        <v>27</v>
      </c>
      <c r="G370" s="2">
        <v>278</v>
      </c>
      <c r="H370" s="2">
        <v>278</v>
      </c>
      <c r="I370" s="2">
        <v>8.41</v>
      </c>
      <c r="J370" s="2">
        <v>5.65</v>
      </c>
      <c r="K370" s="2">
        <v>2</v>
      </c>
      <c r="L370" s="2">
        <v>2066.27</v>
      </c>
    </row>
    <row r="371" spans="1:12" x14ac:dyDescent="0.3">
      <c r="A371" s="4" t="s">
        <v>433</v>
      </c>
      <c r="B371" s="5">
        <v>45102</v>
      </c>
      <c r="C371" s="5">
        <v>45111</v>
      </c>
      <c r="D371" s="4" t="s">
        <v>26</v>
      </c>
      <c r="E371" s="4" t="s">
        <v>34</v>
      </c>
      <c r="F371" s="4" t="s">
        <v>22</v>
      </c>
      <c r="G371" s="4">
        <v>88</v>
      </c>
      <c r="H371" s="4">
        <v>88</v>
      </c>
      <c r="I371" s="4">
        <v>17.420000000000002</v>
      </c>
      <c r="J371" s="4">
        <v>12.67</v>
      </c>
      <c r="K371" s="4">
        <v>5</v>
      </c>
      <c r="L371" s="4">
        <v>1346.18</v>
      </c>
    </row>
    <row r="372" spans="1:12" x14ac:dyDescent="0.3">
      <c r="A372" s="2" t="s">
        <v>434</v>
      </c>
      <c r="B372" s="3">
        <v>45029</v>
      </c>
      <c r="C372" s="3">
        <v>45035</v>
      </c>
      <c r="D372" s="2" t="s">
        <v>29</v>
      </c>
      <c r="E372" s="2" t="s">
        <v>48</v>
      </c>
      <c r="F372" s="2" t="s">
        <v>19</v>
      </c>
      <c r="G372" s="2">
        <v>168</v>
      </c>
      <c r="H372" s="2">
        <v>168</v>
      </c>
      <c r="I372" s="2">
        <v>8.1199999999999992</v>
      </c>
      <c r="J372" s="2">
        <v>4.68</v>
      </c>
      <c r="K372" s="2">
        <v>6</v>
      </c>
      <c r="L372" s="2">
        <v>1042.74</v>
      </c>
    </row>
    <row r="373" spans="1:12" x14ac:dyDescent="0.3">
      <c r="A373" s="4" t="s">
        <v>435</v>
      </c>
      <c r="B373" s="5">
        <v>45282</v>
      </c>
      <c r="C373" s="5">
        <v>45283</v>
      </c>
      <c r="D373" s="4" t="s">
        <v>56</v>
      </c>
      <c r="E373" s="4" t="s">
        <v>48</v>
      </c>
      <c r="F373" s="4" t="s">
        <v>38</v>
      </c>
      <c r="G373" s="4">
        <v>200</v>
      </c>
      <c r="H373" s="4">
        <v>200</v>
      </c>
      <c r="I373" s="4">
        <v>6.9</v>
      </c>
      <c r="J373" s="4">
        <v>5.0999999999999996</v>
      </c>
      <c r="K373" s="4">
        <v>2</v>
      </c>
      <c r="L373" s="4">
        <v>1352.6</v>
      </c>
    </row>
    <row r="374" spans="1:12" x14ac:dyDescent="0.3">
      <c r="A374" s="2" t="s">
        <v>433</v>
      </c>
      <c r="B374" s="3">
        <v>45194</v>
      </c>
      <c r="C374" s="3">
        <v>45196</v>
      </c>
      <c r="D374" s="2" t="s">
        <v>50</v>
      </c>
      <c r="E374" s="2" t="s">
        <v>41</v>
      </c>
      <c r="F374" s="2" t="s">
        <v>27</v>
      </c>
      <c r="G374" s="2">
        <v>94</v>
      </c>
      <c r="H374" s="2">
        <v>94</v>
      </c>
      <c r="I374" s="2">
        <v>16.68</v>
      </c>
      <c r="J374" s="2">
        <v>10.06</v>
      </c>
      <c r="K374" s="2">
        <v>3</v>
      </c>
      <c r="L374" s="2"/>
    </row>
    <row r="375" spans="1:12" x14ac:dyDescent="0.3">
      <c r="A375" s="4" t="s">
        <v>436</v>
      </c>
      <c r="B375" s="5">
        <v>44958</v>
      </c>
      <c r="C375" s="5">
        <v>44960</v>
      </c>
      <c r="D375" s="4" t="s">
        <v>95</v>
      </c>
      <c r="E375" s="4" t="s">
        <v>34</v>
      </c>
      <c r="F375" s="4" t="s">
        <v>19</v>
      </c>
      <c r="G375" s="4">
        <v>124</v>
      </c>
      <c r="H375" s="4">
        <v>124</v>
      </c>
      <c r="I375" s="4">
        <v>12.29</v>
      </c>
      <c r="J375" s="4">
        <v>8.76</v>
      </c>
      <c r="K375" s="4">
        <v>3</v>
      </c>
      <c r="L375" s="4">
        <v>1044.4100000000001</v>
      </c>
    </row>
    <row r="376" spans="1:12" x14ac:dyDescent="0.3">
      <c r="A376" s="2" t="s">
        <v>437</v>
      </c>
      <c r="B376" s="3">
        <v>45048</v>
      </c>
      <c r="C376" s="3">
        <v>45051</v>
      </c>
      <c r="D376" s="2" t="s">
        <v>26</v>
      </c>
      <c r="E376" s="2" t="s">
        <v>48</v>
      </c>
      <c r="F376" s="2" t="s">
        <v>22</v>
      </c>
      <c r="G376" s="2">
        <v>374</v>
      </c>
      <c r="H376" s="2">
        <v>374</v>
      </c>
      <c r="I376" s="2">
        <v>8.14</v>
      </c>
      <c r="J376" s="2">
        <v>5.1100000000000003</v>
      </c>
      <c r="K376" s="2">
        <v>5</v>
      </c>
      <c r="L376" s="2">
        <v>2817.06</v>
      </c>
    </row>
    <row r="377" spans="1:12" x14ac:dyDescent="0.3">
      <c r="A377" s="4" t="s">
        <v>438</v>
      </c>
      <c r="B377" s="5">
        <v>44933</v>
      </c>
      <c r="C377" s="5">
        <v>44935</v>
      </c>
      <c r="D377" s="4" t="s">
        <v>29</v>
      </c>
      <c r="E377" s="4" t="s">
        <v>48</v>
      </c>
      <c r="F377" s="4" t="s">
        <v>27</v>
      </c>
      <c r="G377" s="4">
        <v>337</v>
      </c>
      <c r="H377" s="4">
        <v>337</v>
      </c>
      <c r="I377" s="4">
        <v>7.9</v>
      </c>
      <c r="J377" s="4">
        <v>5.05</v>
      </c>
      <c r="K377" s="4">
        <v>6</v>
      </c>
      <c r="L377" s="4">
        <v>1761.97</v>
      </c>
    </row>
    <row r="378" spans="1:12" x14ac:dyDescent="0.3">
      <c r="A378" s="2" t="s">
        <v>439</v>
      </c>
      <c r="B378" s="3">
        <v>45235</v>
      </c>
      <c r="C378" s="3">
        <v>45241</v>
      </c>
      <c r="D378" s="2" t="s">
        <v>29</v>
      </c>
      <c r="E378" s="2" t="s">
        <v>48</v>
      </c>
      <c r="F378" s="2" t="s">
        <v>38</v>
      </c>
      <c r="G378" s="2">
        <v>119</v>
      </c>
      <c r="H378" s="2">
        <v>119</v>
      </c>
      <c r="I378" s="2">
        <v>5.44</v>
      </c>
      <c r="J378" s="2">
        <v>3.73</v>
      </c>
      <c r="K378" s="2">
        <v>6</v>
      </c>
      <c r="L378" s="2">
        <v>449.28</v>
      </c>
    </row>
    <row r="379" spans="1:12" x14ac:dyDescent="0.3">
      <c r="A379" s="4" t="s">
        <v>440</v>
      </c>
      <c r="B379" s="5">
        <v>45120</v>
      </c>
      <c r="C379" s="5">
        <v>45122</v>
      </c>
      <c r="D379" s="4" t="s">
        <v>56</v>
      </c>
      <c r="E379" s="4" t="s">
        <v>48</v>
      </c>
      <c r="F379" s="4" t="s">
        <v>27</v>
      </c>
      <c r="G379" s="4">
        <v>304</v>
      </c>
      <c r="H379" s="4">
        <v>304</v>
      </c>
      <c r="I379" s="4" t="s">
        <v>441</v>
      </c>
      <c r="J379" s="4">
        <v>3.87</v>
      </c>
      <c r="K379" s="4">
        <v>2</v>
      </c>
      <c r="L379" s="4">
        <v>1062.82</v>
      </c>
    </row>
    <row r="380" spans="1:12" x14ac:dyDescent="0.3">
      <c r="A380" s="2" t="s">
        <v>442</v>
      </c>
      <c r="B380" s="3">
        <v>45005</v>
      </c>
      <c r="C380" s="3">
        <v>45010</v>
      </c>
      <c r="D380" s="2" t="s">
        <v>36</v>
      </c>
      <c r="E380" s="2" t="s">
        <v>18</v>
      </c>
      <c r="F380" s="2" t="s">
        <v>27</v>
      </c>
      <c r="G380" s="2">
        <v>46</v>
      </c>
      <c r="H380" s="2">
        <v>46</v>
      </c>
      <c r="I380" s="2">
        <v>9.4</v>
      </c>
      <c r="J380" s="2">
        <v>6.76</v>
      </c>
      <c r="K380" s="2">
        <v>7</v>
      </c>
      <c r="L380" s="2">
        <v>336.05</v>
      </c>
    </row>
    <row r="381" spans="1:12" x14ac:dyDescent="0.3">
      <c r="A381" s="4" t="s">
        <v>443</v>
      </c>
      <c r="B381" s="5">
        <v>45196</v>
      </c>
      <c r="C381" s="5">
        <v>45198</v>
      </c>
      <c r="D381" s="4" t="s">
        <v>29</v>
      </c>
      <c r="E381" s="4" t="s">
        <v>14</v>
      </c>
      <c r="F381" s="4" t="s">
        <v>15</v>
      </c>
      <c r="G381" s="4">
        <v>286</v>
      </c>
      <c r="H381" s="4">
        <v>286</v>
      </c>
      <c r="I381" s="4">
        <v>13.24</v>
      </c>
      <c r="J381" s="4">
        <v>8.3800000000000008</v>
      </c>
      <c r="K381" s="4">
        <v>6</v>
      </c>
      <c r="L381" s="4">
        <v>2929.27</v>
      </c>
    </row>
    <row r="382" spans="1:12" x14ac:dyDescent="0.3">
      <c r="A382" s="2" t="s">
        <v>444</v>
      </c>
      <c r="B382" s="3">
        <v>45036</v>
      </c>
      <c r="C382" s="3">
        <v>45039</v>
      </c>
      <c r="D382" s="2" t="s">
        <v>13</v>
      </c>
      <c r="E382" s="2" t="s">
        <v>34</v>
      </c>
      <c r="F382" s="2" t="s">
        <v>19</v>
      </c>
      <c r="G382" s="2">
        <v>204</v>
      </c>
      <c r="H382" s="2">
        <v>204</v>
      </c>
      <c r="I382" s="2">
        <v>20.55</v>
      </c>
      <c r="J382" s="2">
        <v>13.84</v>
      </c>
      <c r="K382" s="2">
        <v>4</v>
      </c>
      <c r="L382" s="2">
        <v>3345.44</v>
      </c>
    </row>
    <row r="383" spans="1:12" x14ac:dyDescent="0.3">
      <c r="A383" s="4" t="s">
        <v>445</v>
      </c>
      <c r="B383" s="5">
        <v>45155</v>
      </c>
      <c r="C383" s="5">
        <v>45158</v>
      </c>
      <c r="D383" s="4" t="s">
        <v>33</v>
      </c>
      <c r="E383" s="4" t="s">
        <v>14</v>
      </c>
      <c r="F383" s="4" t="s">
        <v>15</v>
      </c>
      <c r="G383" s="4">
        <v>334</v>
      </c>
      <c r="H383" s="4">
        <v>334</v>
      </c>
      <c r="I383" s="4">
        <v>11.36</v>
      </c>
      <c r="J383" s="4">
        <v>6.34</v>
      </c>
      <c r="K383" s="4">
        <v>3</v>
      </c>
      <c r="L383" s="4">
        <v>3031.07</v>
      </c>
    </row>
    <row r="384" spans="1:12" x14ac:dyDescent="0.3">
      <c r="A384" s="2" t="s">
        <v>446</v>
      </c>
      <c r="B384" s="3">
        <v>45058</v>
      </c>
      <c r="C384" s="3">
        <v>45061</v>
      </c>
      <c r="D384" s="2" t="s">
        <v>40</v>
      </c>
      <c r="E384" s="2" t="s">
        <v>14</v>
      </c>
      <c r="F384" s="2" t="s">
        <v>22</v>
      </c>
      <c r="G384" s="2">
        <v>32</v>
      </c>
      <c r="H384" s="2">
        <v>32</v>
      </c>
      <c r="I384" s="2">
        <v>15.52</v>
      </c>
      <c r="J384" s="2">
        <v>9.6999999999999993</v>
      </c>
      <c r="K384" s="2">
        <v>4</v>
      </c>
      <c r="L384" s="2">
        <v>428.88</v>
      </c>
    </row>
    <row r="385" spans="1:12" x14ac:dyDescent="0.3">
      <c r="A385" s="4" t="s">
        <v>447</v>
      </c>
      <c r="B385" s="5">
        <v>45078</v>
      </c>
      <c r="C385" s="5">
        <v>45080</v>
      </c>
      <c r="D385" s="4" t="s">
        <v>36</v>
      </c>
      <c r="E385" s="4" t="s">
        <v>41</v>
      </c>
      <c r="F385" s="4" t="s">
        <v>27</v>
      </c>
      <c r="G385" s="4">
        <v>184</v>
      </c>
      <c r="H385" s="4">
        <v>184</v>
      </c>
      <c r="I385" s="4">
        <v>27.38</v>
      </c>
      <c r="J385" s="4">
        <v>15.98</v>
      </c>
      <c r="K385" s="4">
        <v>7</v>
      </c>
      <c r="L385" s="4">
        <v>4333.34</v>
      </c>
    </row>
    <row r="386" spans="1:12" x14ac:dyDescent="0.3">
      <c r="A386" s="2" t="s">
        <v>448</v>
      </c>
      <c r="B386" s="3">
        <v>45270</v>
      </c>
      <c r="C386" s="3">
        <v>45271</v>
      </c>
      <c r="D386" s="2" t="s">
        <v>33</v>
      </c>
      <c r="E386" s="2" t="s">
        <v>14</v>
      </c>
      <c r="F386" s="2" t="s">
        <v>19</v>
      </c>
      <c r="G386" s="2">
        <v>370</v>
      </c>
      <c r="H386" s="2">
        <v>370</v>
      </c>
      <c r="I386" s="2">
        <v>10.35</v>
      </c>
      <c r="J386" s="2">
        <v>6.81</v>
      </c>
      <c r="K386" s="2">
        <v>3</v>
      </c>
      <c r="L386" s="2">
        <v>3330.15</v>
      </c>
    </row>
    <row r="387" spans="1:12" x14ac:dyDescent="0.3">
      <c r="A387" s="4" t="s">
        <v>449</v>
      </c>
      <c r="B387" s="5">
        <v>44939</v>
      </c>
      <c r="C387" s="5">
        <v>44942</v>
      </c>
      <c r="D387" s="4" t="s">
        <v>40</v>
      </c>
      <c r="E387" s="4" t="s">
        <v>14</v>
      </c>
      <c r="F387" s="4" t="s">
        <v>19</v>
      </c>
      <c r="G387" s="4">
        <v>39</v>
      </c>
      <c r="H387" s="4">
        <v>39</v>
      </c>
      <c r="I387" s="4">
        <v>9.99</v>
      </c>
      <c r="J387" s="4">
        <v>7.08</v>
      </c>
      <c r="K387" s="4">
        <v>4</v>
      </c>
      <c r="L387" s="4">
        <v>340.97</v>
      </c>
    </row>
    <row r="388" spans="1:12" x14ac:dyDescent="0.3">
      <c r="A388" s="2" t="s">
        <v>450</v>
      </c>
      <c r="B388" s="3">
        <v>45125</v>
      </c>
      <c r="C388" s="3">
        <v>45129</v>
      </c>
      <c r="D388" s="2" t="s">
        <v>26</v>
      </c>
      <c r="E388" s="2" t="s">
        <v>34</v>
      </c>
      <c r="F388" s="2" t="s">
        <v>22</v>
      </c>
      <c r="G388" s="2">
        <v>241</v>
      </c>
      <c r="H388" s="2">
        <v>241</v>
      </c>
      <c r="I388" s="2">
        <v>15.51</v>
      </c>
      <c r="J388" s="2">
        <v>8.9</v>
      </c>
      <c r="K388" s="2">
        <v>5</v>
      </c>
      <c r="L388" s="2">
        <v>1938</v>
      </c>
    </row>
    <row r="389" spans="1:12" x14ac:dyDescent="0.3">
      <c r="A389" s="4" t="s">
        <v>451</v>
      </c>
      <c r="B389" s="5">
        <v>45285</v>
      </c>
      <c r="C389" s="5">
        <v>45288</v>
      </c>
      <c r="D389" s="4" t="s">
        <v>13</v>
      </c>
      <c r="E389" s="4" t="s">
        <v>48</v>
      </c>
      <c r="F389" s="4" t="s">
        <v>27</v>
      </c>
      <c r="G389" s="4">
        <v>277</v>
      </c>
      <c r="H389" s="4">
        <v>277</v>
      </c>
      <c r="I389" s="4">
        <v>7.63</v>
      </c>
      <c r="J389" s="4">
        <v>4.66</v>
      </c>
      <c r="K389" s="4">
        <v>4</v>
      </c>
      <c r="L389" s="4">
        <v>1228.74</v>
      </c>
    </row>
    <row r="390" spans="1:12" x14ac:dyDescent="0.3">
      <c r="A390" s="2" t="s">
        <v>452</v>
      </c>
      <c r="B390" s="3">
        <v>45265</v>
      </c>
      <c r="C390" s="3">
        <v>45267</v>
      </c>
      <c r="D390" s="2" t="s">
        <v>36</v>
      </c>
      <c r="E390" s="2" t="s">
        <v>41</v>
      </c>
      <c r="F390" s="2" t="s">
        <v>22</v>
      </c>
      <c r="G390" s="2">
        <v>293</v>
      </c>
      <c r="H390" s="2">
        <v>293</v>
      </c>
      <c r="I390" s="2">
        <v>24.96</v>
      </c>
      <c r="J390" s="2">
        <v>17.71</v>
      </c>
      <c r="K390" s="2">
        <v>7</v>
      </c>
      <c r="L390" s="2">
        <v>7314.87</v>
      </c>
    </row>
    <row r="391" spans="1:12" x14ac:dyDescent="0.3">
      <c r="A391" s="4" t="s">
        <v>453</v>
      </c>
      <c r="B391" s="5">
        <v>45273</v>
      </c>
      <c r="C391" s="5">
        <v>45276</v>
      </c>
      <c r="D391" s="4" t="s">
        <v>50</v>
      </c>
      <c r="E391" s="4" t="s">
        <v>18</v>
      </c>
      <c r="F391" s="4" t="s">
        <v>15</v>
      </c>
      <c r="G391" s="4">
        <v>351</v>
      </c>
      <c r="H391" s="4">
        <v>351</v>
      </c>
      <c r="I391" s="4">
        <v>10.96</v>
      </c>
      <c r="J391" s="4">
        <v>7.24</v>
      </c>
      <c r="K391" s="4">
        <v>3</v>
      </c>
      <c r="L391" s="4">
        <v>3133.46</v>
      </c>
    </row>
    <row r="392" spans="1:12" x14ac:dyDescent="0.3">
      <c r="A392" s="2" t="s">
        <v>454</v>
      </c>
      <c r="B392" s="3">
        <v>45220</v>
      </c>
      <c r="C392" s="3">
        <v>45221</v>
      </c>
      <c r="D392" s="2" t="s">
        <v>13</v>
      </c>
      <c r="E392" s="2" t="s">
        <v>14</v>
      </c>
      <c r="F392" s="2" t="s">
        <v>27</v>
      </c>
      <c r="G392" s="2">
        <v>176</v>
      </c>
      <c r="H392" s="2">
        <v>176</v>
      </c>
      <c r="I392" s="2">
        <v>14.94</v>
      </c>
      <c r="J392" s="2">
        <v>10.39</v>
      </c>
      <c r="K392" s="2">
        <v>4</v>
      </c>
      <c r="L392" s="2">
        <v>1878.09</v>
      </c>
    </row>
    <row r="393" spans="1:12" x14ac:dyDescent="0.3">
      <c r="A393" s="4" t="s">
        <v>455</v>
      </c>
      <c r="B393" s="5">
        <v>45040</v>
      </c>
      <c r="C393" s="5">
        <v>45042</v>
      </c>
      <c r="D393" s="4" t="s">
        <v>79</v>
      </c>
      <c r="E393" s="4" t="s">
        <v>18</v>
      </c>
      <c r="F393" s="4" t="s">
        <v>19</v>
      </c>
      <c r="G393" s="4">
        <v>119</v>
      </c>
      <c r="H393" s="4">
        <v>119</v>
      </c>
      <c r="I393" s="4">
        <v>9.6199999999999992</v>
      </c>
      <c r="J393" s="4">
        <v>6.38</v>
      </c>
      <c r="K393" s="4">
        <v>2</v>
      </c>
      <c r="L393" s="4">
        <v>708.07</v>
      </c>
    </row>
    <row r="394" spans="1:12" x14ac:dyDescent="0.3">
      <c r="A394" s="2" t="s">
        <v>456</v>
      </c>
      <c r="B394" s="3">
        <v>45075</v>
      </c>
      <c r="C394" s="3">
        <v>45078</v>
      </c>
      <c r="D394" s="2" t="s">
        <v>36</v>
      </c>
      <c r="E394" s="2" t="s">
        <v>48</v>
      </c>
      <c r="F394" s="2" t="s">
        <v>27</v>
      </c>
      <c r="G394" s="2">
        <v>70</v>
      </c>
      <c r="H394" s="2">
        <v>70</v>
      </c>
      <c r="I394" s="2">
        <v>6.89</v>
      </c>
      <c r="J394" s="2">
        <v>5.0999999999999996</v>
      </c>
      <c r="K394" s="2">
        <v>7</v>
      </c>
      <c r="L394" s="2">
        <v>397.8</v>
      </c>
    </row>
    <row r="395" spans="1:12" x14ac:dyDescent="0.3">
      <c r="A395" s="4" t="s">
        <v>457</v>
      </c>
      <c r="B395" s="5">
        <v>45244</v>
      </c>
      <c r="C395" s="5">
        <v>45246</v>
      </c>
      <c r="D395" s="4" t="s">
        <v>26</v>
      </c>
      <c r="E395" s="4" t="s">
        <v>14</v>
      </c>
      <c r="F395" s="4" t="s">
        <v>15</v>
      </c>
      <c r="G395" s="4">
        <v>182</v>
      </c>
      <c r="H395" s="4">
        <v>182</v>
      </c>
      <c r="I395" s="4">
        <v>11.96</v>
      </c>
      <c r="J395" s="4">
        <v>8.16</v>
      </c>
      <c r="K395" s="4">
        <v>5</v>
      </c>
      <c r="L395" s="4">
        <v>1954.53</v>
      </c>
    </row>
    <row r="396" spans="1:12" x14ac:dyDescent="0.3">
      <c r="A396" s="2" t="s">
        <v>458</v>
      </c>
      <c r="B396" s="3">
        <v>45113</v>
      </c>
      <c r="C396" s="3">
        <v>45115</v>
      </c>
      <c r="D396" s="2" t="s">
        <v>56</v>
      </c>
      <c r="E396" s="2" t="s">
        <v>48</v>
      </c>
      <c r="F396" s="2" t="s">
        <v>38</v>
      </c>
      <c r="G396" s="2">
        <v>106</v>
      </c>
      <c r="H396" s="2">
        <v>89</v>
      </c>
      <c r="I396" s="2">
        <v>7.63</v>
      </c>
      <c r="J396" s="2">
        <v>5.28</v>
      </c>
      <c r="K396" s="2">
        <v>2</v>
      </c>
      <c r="L396" s="2">
        <v>718.91</v>
      </c>
    </row>
    <row r="397" spans="1:12" x14ac:dyDescent="0.3">
      <c r="A397" s="4" t="s">
        <v>459</v>
      </c>
      <c r="B397" s="5">
        <v>45274</v>
      </c>
      <c r="C397" s="5">
        <v>45276</v>
      </c>
      <c r="D397" s="4" t="s">
        <v>50</v>
      </c>
      <c r="E397" s="4" t="s">
        <v>34</v>
      </c>
      <c r="F397" s="4" t="s">
        <v>19</v>
      </c>
      <c r="G397" s="4">
        <v>256</v>
      </c>
      <c r="H397" s="4">
        <v>256</v>
      </c>
      <c r="I397" s="4">
        <v>18.97</v>
      </c>
      <c r="J397" s="4">
        <v>12.28</v>
      </c>
      <c r="K397" s="4">
        <v>3</v>
      </c>
      <c r="L397" s="4">
        <v>3034.59</v>
      </c>
    </row>
    <row r="398" spans="1:12" x14ac:dyDescent="0.3">
      <c r="A398" s="2" t="s">
        <v>460</v>
      </c>
      <c r="B398" s="3">
        <v>45202</v>
      </c>
      <c r="C398" s="3">
        <v>45203</v>
      </c>
      <c r="D398" s="2" t="s">
        <v>13</v>
      </c>
      <c r="E398" s="2" t="s">
        <v>34</v>
      </c>
      <c r="F398" s="2" t="s">
        <v>19</v>
      </c>
      <c r="G398" s="2">
        <v>392</v>
      </c>
      <c r="H398" s="2">
        <v>392</v>
      </c>
      <c r="I398" s="2">
        <v>12.17</v>
      </c>
      <c r="J398" s="2">
        <v>7.93</v>
      </c>
      <c r="K398" s="2">
        <v>4</v>
      </c>
      <c r="L398" s="2">
        <v>2855.89</v>
      </c>
    </row>
    <row r="399" spans="1:12" x14ac:dyDescent="0.3">
      <c r="A399" s="4" t="s">
        <v>461</v>
      </c>
      <c r="B399" s="5">
        <v>44945</v>
      </c>
      <c r="C399" s="5">
        <v>44949</v>
      </c>
      <c r="D399" s="4" t="s">
        <v>40</v>
      </c>
      <c r="E399" s="4" t="s">
        <v>48</v>
      </c>
      <c r="F399" s="4" t="s">
        <v>19</v>
      </c>
      <c r="G399" s="4">
        <v>354</v>
      </c>
      <c r="H399" s="4">
        <v>354</v>
      </c>
      <c r="I399" s="4">
        <v>6.12</v>
      </c>
      <c r="J399" s="4">
        <v>3.64</v>
      </c>
      <c r="K399" s="4">
        <v>4</v>
      </c>
      <c r="L399" s="4">
        <v>1756.68</v>
      </c>
    </row>
    <row r="400" spans="1:12" x14ac:dyDescent="0.3">
      <c r="A400" s="2" t="s">
        <v>462</v>
      </c>
      <c r="B400" s="3">
        <v>45183</v>
      </c>
      <c r="C400" s="3">
        <v>45179</v>
      </c>
      <c r="D400" s="2" t="s">
        <v>50</v>
      </c>
      <c r="E400" s="2" t="s">
        <v>18</v>
      </c>
      <c r="F400" s="2" t="s">
        <v>22</v>
      </c>
      <c r="G400" s="2">
        <v>206</v>
      </c>
      <c r="H400" s="2">
        <v>206</v>
      </c>
      <c r="I400" s="2">
        <v>9.58</v>
      </c>
      <c r="J400" s="2">
        <v>6.89</v>
      </c>
      <c r="K400" s="2">
        <v>3</v>
      </c>
      <c r="L400" s="2">
        <v>1964.26</v>
      </c>
    </row>
    <row r="401" spans="1:12" x14ac:dyDescent="0.3">
      <c r="A401" s="4" t="s">
        <v>463</v>
      </c>
      <c r="B401" s="5">
        <v>45155</v>
      </c>
      <c r="C401" s="5">
        <v>45156</v>
      </c>
      <c r="D401" s="4" t="s">
        <v>56</v>
      </c>
      <c r="E401" s="4" t="s">
        <v>48</v>
      </c>
      <c r="F401" s="4" t="s">
        <v>19</v>
      </c>
      <c r="G401" s="4">
        <v>396</v>
      </c>
      <c r="H401" s="4">
        <v>396</v>
      </c>
      <c r="I401" s="4">
        <v>8.18</v>
      </c>
      <c r="J401" s="4">
        <v>4.57</v>
      </c>
      <c r="K401" s="4">
        <v>2</v>
      </c>
      <c r="L401" s="4">
        <v>2455.58</v>
      </c>
    </row>
    <row r="402" spans="1:12" x14ac:dyDescent="0.3">
      <c r="A402" s="2" t="s">
        <v>464</v>
      </c>
      <c r="B402" s="3">
        <v>45116</v>
      </c>
      <c r="C402" s="3">
        <v>45118</v>
      </c>
      <c r="D402" s="2" t="s">
        <v>26</v>
      </c>
      <c r="E402" s="2" t="s">
        <v>14</v>
      </c>
      <c r="F402" s="2" t="s">
        <v>15</v>
      </c>
      <c r="G402" s="2">
        <v>285</v>
      </c>
      <c r="H402" s="2">
        <v>285</v>
      </c>
      <c r="I402" s="2">
        <v>12.2</v>
      </c>
      <c r="J402" s="2">
        <v>7.86</v>
      </c>
      <c r="K402" s="2">
        <v>5</v>
      </c>
      <c r="L402" s="2">
        <v>2627.16</v>
      </c>
    </row>
    <row r="403" spans="1:12" x14ac:dyDescent="0.3">
      <c r="A403" s="4" t="s">
        <v>465</v>
      </c>
      <c r="B403" s="5">
        <v>44979</v>
      </c>
      <c r="C403" s="5">
        <v>44982</v>
      </c>
      <c r="D403" s="4" t="s">
        <v>33</v>
      </c>
      <c r="E403" s="4" t="s">
        <v>14</v>
      </c>
      <c r="F403" s="4" t="s">
        <v>15</v>
      </c>
      <c r="G403" s="4">
        <v>344</v>
      </c>
      <c r="H403" s="4">
        <v>344</v>
      </c>
      <c r="I403" s="4">
        <v>15.61</v>
      </c>
      <c r="J403" s="4">
        <v>9.41</v>
      </c>
      <c r="K403" s="4">
        <v>3</v>
      </c>
      <c r="L403" s="4">
        <v>3970.59</v>
      </c>
    </row>
    <row r="404" spans="1:12" x14ac:dyDescent="0.3">
      <c r="A404" s="2" t="s">
        <v>466</v>
      </c>
      <c r="B404" s="3">
        <v>45114</v>
      </c>
      <c r="C404" s="3">
        <v>45115</v>
      </c>
      <c r="D404" s="2" t="s">
        <v>56</v>
      </c>
      <c r="E404" s="2" t="s">
        <v>41</v>
      </c>
      <c r="F404" s="2" t="s">
        <v>22</v>
      </c>
      <c r="G404" s="2">
        <v>284</v>
      </c>
      <c r="H404" s="2">
        <v>284</v>
      </c>
      <c r="I404" s="2">
        <v>27.67</v>
      </c>
      <c r="J404" s="2">
        <v>16.45</v>
      </c>
      <c r="K404" s="2">
        <v>2</v>
      </c>
      <c r="L404" s="2">
        <v>5342.23</v>
      </c>
    </row>
    <row r="405" spans="1:12" x14ac:dyDescent="0.3">
      <c r="A405" s="4" t="s">
        <v>467</v>
      </c>
      <c r="B405" s="5">
        <v>45236</v>
      </c>
      <c r="C405" s="5">
        <v>45238</v>
      </c>
      <c r="D405" s="4" t="s">
        <v>29</v>
      </c>
      <c r="E405" s="4" t="s">
        <v>41</v>
      </c>
      <c r="F405" s="4" t="s">
        <v>22</v>
      </c>
      <c r="G405" s="4">
        <v>245</v>
      </c>
      <c r="H405" s="4">
        <v>245</v>
      </c>
      <c r="I405" s="4">
        <v>16.93</v>
      </c>
      <c r="J405" s="4">
        <v>11.49</v>
      </c>
      <c r="K405" s="4">
        <v>6</v>
      </c>
      <c r="L405" s="4">
        <v>2890.8</v>
      </c>
    </row>
    <row r="406" spans="1:12" x14ac:dyDescent="0.3">
      <c r="A406" s="2" t="s">
        <v>468</v>
      </c>
      <c r="B406" s="3">
        <v>45235</v>
      </c>
      <c r="C406" s="3">
        <v>45236</v>
      </c>
      <c r="D406" s="2" t="s">
        <v>56</v>
      </c>
      <c r="E406" s="2" t="s">
        <v>18</v>
      </c>
      <c r="F406" s="2" t="s">
        <v>15</v>
      </c>
      <c r="G406" s="2">
        <v>358</v>
      </c>
      <c r="H406" s="2">
        <v>358</v>
      </c>
      <c r="I406" s="2">
        <v>10.29</v>
      </c>
      <c r="J406" s="2">
        <v>7.14</v>
      </c>
      <c r="K406" s="2">
        <v>2</v>
      </c>
      <c r="L406" s="2">
        <v>3039</v>
      </c>
    </row>
    <row r="407" spans="1:12" x14ac:dyDescent="0.3">
      <c r="A407" s="4" t="s">
        <v>469</v>
      </c>
      <c r="B407" s="5">
        <v>45229</v>
      </c>
      <c r="C407" s="5">
        <v>45236</v>
      </c>
      <c r="D407" s="4" t="s">
        <v>36</v>
      </c>
      <c r="E407" s="4" t="s">
        <v>41</v>
      </c>
      <c r="F407" s="4" t="s">
        <v>19</v>
      </c>
      <c r="G407" s="4">
        <v>230</v>
      </c>
      <c r="H407" s="4">
        <v>166</v>
      </c>
      <c r="I407" s="4">
        <v>17.53</v>
      </c>
      <c r="J407" s="4">
        <v>11.72</v>
      </c>
      <c r="K407" s="4">
        <v>7</v>
      </c>
      <c r="L407" s="4"/>
    </row>
    <row r="408" spans="1:12" x14ac:dyDescent="0.3">
      <c r="A408" s="2" t="s">
        <v>470</v>
      </c>
      <c r="B408" s="3">
        <v>44955</v>
      </c>
      <c r="C408" s="3">
        <v>44956</v>
      </c>
      <c r="D408" s="2" t="s">
        <v>33</v>
      </c>
      <c r="E408" s="2" t="s">
        <v>48</v>
      </c>
      <c r="F408" s="2" t="s">
        <v>19</v>
      </c>
      <c r="G408" s="2">
        <v>284</v>
      </c>
      <c r="H408" s="2">
        <v>284</v>
      </c>
      <c r="I408" s="2">
        <v>6.96</v>
      </c>
      <c r="J408" s="2">
        <v>4.6100000000000003</v>
      </c>
      <c r="K408" s="2">
        <v>3</v>
      </c>
      <c r="L408" s="2">
        <v>1192.94</v>
      </c>
    </row>
    <row r="409" spans="1:12" x14ac:dyDescent="0.3">
      <c r="A409" s="4" t="s">
        <v>471</v>
      </c>
      <c r="B409" s="5">
        <v>45156</v>
      </c>
      <c r="C409" s="5">
        <v>45158</v>
      </c>
      <c r="D409" s="4" t="s">
        <v>50</v>
      </c>
      <c r="E409" s="4" t="s">
        <v>14</v>
      </c>
      <c r="F409" s="4" t="s">
        <v>19</v>
      </c>
      <c r="G409" s="4">
        <v>266</v>
      </c>
      <c r="H409" s="4">
        <v>266</v>
      </c>
      <c r="I409" s="4" t="s">
        <v>472</v>
      </c>
      <c r="J409" s="4">
        <v>10.44</v>
      </c>
      <c r="K409" s="4">
        <v>3</v>
      </c>
      <c r="L409" s="4">
        <v>3823.34</v>
      </c>
    </row>
    <row r="410" spans="1:12" x14ac:dyDescent="0.3">
      <c r="A410" s="2" t="s">
        <v>473</v>
      </c>
      <c r="B410" s="3">
        <v>45062</v>
      </c>
      <c r="C410" s="3">
        <v>45064</v>
      </c>
      <c r="D410" s="2" t="s">
        <v>56</v>
      </c>
      <c r="E410" s="2" t="s">
        <v>48</v>
      </c>
      <c r="F410" s="2" t="s">
        <v>38</v>
      </c>
      <c r="G410" s="2">
        <v>252</v>
      </c>
      <c r="H410" s="2">
        <v>252</v>
      </c>
      <c r="I410" s="2">
        <v>5.05</v>
      </c>
      <c r="J410" s="2">
        <v>3.16</v>
      </c>
      <c r="K410" s="2">
        <v>2</v>
      </c>
      <c r="L410" s="2">
        <v>779.86</v>
      </c>
    </row>
    <row r="411" spans="1:12" x14ac:dyDescent="0.3">
      <c r="A411" s="4" t="s">
        <v>474</v>
      </c>
      <c r="B411" s="5">
        <v>45185</v>
      </c>
      <c r="C411" s="5">
        <v>45186</v>
      </c>
      <c r="D411" s="4" t="s">
        <v>33</v>
      </c>
      <c r="E411" s="4" t="s">
        <v>18</v>
      </c>
      <c r="F411" s="4" t="s">
        <v>38</v>
      </c>
      <c r="G411" s="4">
        <v>330</v>
      </c>
      <c r="H411" s="4">
        <v>330</v>
      </c>
      <c r="I411" s="4" t="s">
        <v>475</v>
      </c>
      <c r="J411" s="4">
        <v>5.84</v>
      </c>
      <c r="K411" s="4">
        <v>3</v>
      </c>
      <c r="L411" s="4">
        <v>1779.62</v>
      </c>
    </row>
    <row r="412" spans="1:12" x14ac:dyDescent="0.3">
      <c r="A412" s="2" t="s">
        <v>476</v>
      </c>
      <c r="B412" s="2" t="s">
        <v>477</v>
      </c>
      <c r="C412" s="3">
        <v>45265</v>
      </c>
      <c r="D412" s="2" t="s">
        <v>13</v>
      </c>
      <c r="E412" s="2" t="s">
        <v>14</v>
      </c>
      <c r="F412" s="2" t="s">
        <v>22</v>
      </c>
      <c r="G412" s="2">
        <v>367</v>
      </c>
      <c r="H412" s="2">
        <v>367</v>
      </c>
      <c r="I412" s="2">
        <v>13.36</v>
      </c>
      <c r="J412" s="2">
        <v>8.34</v>
      </c>
      <c r="K412" s="2">
        <v>4</v>
      </c>
      <c r="L412" s="2">
        <v>2834.48</v>
      </c>
    </row>
    <row r="413" spans="1:12" x14ac:dyDescent="0.3">
      <c r="A413" s="4" t="s">
        <v>478</v>
      </c>
      <c r="B413" s="5">
        <v>45122</v>
      </c>
      <c r="C413" s="5">
        <v>45123</v>
      </c>
      <c r="D413" s="4" t="s">
        <v>40</v>
      </c>
      <c r="E413" s="4" t="s">
        <v>18</v>
      </c>
      <c r="F413" s="4" t="s">
        <v>22</v>
      </c>
      <c r="G413" s="4">
        <v>237</v>
      </c>
      <c r="H413" s="4">
        <v>237</v>
      </c>
      <c r="I413" s="4">
        <v>8.69</v>
      </c>
      <c r="J413" s="4">
        <v>5.18</v>
      </c>
      <c r="K413" s="4">
        <v>4</v>
      </c>
      <c r="L413" s="4">
        <v>1737.67</v>
      </c>
    </row>
    <row r="414" spans="1:12" x14ac:dyDescent="0.3">
      <c r="A414" s="2" t="s">
        <v>479</v>
      </c>
      <c r="B414" s="3">
        <v>45136</v>
      </c>
      <c r="C414" s="3">
        <v>45137</v>
      </c>
      <c r="D414" s="2" t="s">
        <v>50</v>
      </c>
      <c r="E414" s="2" t="s">
        <v>48</v>
      </c>
      <c r="F414" s="2" t="s">
        <v>38</v>
      </c>
      <c r="G414" s="2">
        <v>383</v>
      </c>
      <c r="H414" s="2">
        <v>383</v>
      </c>
      <c r="I414" s="2" t="s">
        <v>480</v>
      </c>
      <c r="J414" s="2">
        <v>3.16</v>
      </c>
      <c r="K414" s="2">
        <v>3</v>
      </c>
      <c r="L414" s="2">
        <v>1466.69</v>
      </c>
    </row>
    <row r="415" spans="1:12" x14ac:dyDescent="0.3">
      <c r="A415" s="4" t="s">
        <v>481</v>
      </c>
      <c r="B415" s="5">
        <v>45136</v>
      </c>
      <c r="C415" s="5">
        <v>45138</v>
      </c>
      <c r="D415" s="4" t="s">
        <v>132</v>
      </c>
      <c r="E415" s="4" t="s">
        <v>18</v>
      </c>
      <c r="F415" s="4" t="s">
        <v>15</v>
      </c>
      <c r="G415" s="4">
        <v>238</v>
      </c>
      <c r="H415" s="4">
        <v>238</v>
      </c>
      <c r="I415" s="4">
        <v>7.62</v>
      </c>
      <c r="J415" s="4">
        <v>5.49</v>
      </c>
      <c r="K415" s="4">
        <v>4</v>
      </c>
      <c r="L415" s="4">
        <v>1508.02</v>
      </c>
    </row>
    <row r="416" spans="1:12" x14ac:dyDescent="0.3">
      <c r="A416" s="2" t="s">
        <v>482</v>
      </c>
      <c r="B416" s="3">
        <v>45275</v>
      </c>
      <c r="C416" s="3">
        <v>45277</v>
      </c>
      <c r="D416" s="2" t="s">
        <v>29</v>
      </c>
      <c r="E416" s="2" t="s">
        <v>48</v>
      </c>
      <c r="F416" s="2" t="s">
        <v>15</v>
      </c>
      <c r="G416" s="2">
        <v>231</v>
      </c>
      <c r="H416" s="2">
        <v>231</v>
      </c>
      <c r="I416" s="2">
        <v>6.81</v>
      </c>
      <c r="J416" s="2">
        <v>3.99</v>
      </c>
      <c r="K416" s="2">
        <v>6</v>
      </c>
      <c r="L416" s="2">
        <v>1138.71</v>
      </c>
    </row>
    <row r="417" spans="1:12" x14ac:dyDescent="0.3">
      <c r="A417" s="4" t="s">
        <v>483</v>
      </c>
      <c r="B417" s="5">
        <v>45222</v>
      </c>
      <c r="C417" s="5">
        <v>45228</v>
      </c>
      <c r="D417" s="4" t="s">
        <v>36</v>
      </c>
      <c r="E417" s="4" t="s">
        <v>34</v>
      </c>
      <c r="F417" s="4" t="s">
        <v>15</v>
      </c>
      <c r="G417" s="4">
        <v>223</v>
      </c>
      <c r="H417" s="4">
        <v>223</v>
      </c>
      <c r="I417" s="4">
        <v>19.690000000000001</v>
      </c>
      <c r="J417" s="4">
        <v>13.43</v>
      </c>
      <c r="K417" s="4">
        <v>7</v>
      </c>
      <c r="L417" s="4">
        <v>4039.17</v>
      </c>
    </row>
    <row r="418" spans="1:12" x14ac:dyDescent="0.3">
      <c r="A418" s="2" t="s">
        <v>484</v>
      </c>
      <c r="B418" s="3">
        <v>45036</v>
      </c>
      <c r="C418" s="3">
        <v>45043</v>
      </c>
      <c r="D418" s="2" t="s">
        <v>36</v>
      </c>
      <c r="E418" s="2" t="s">
        <v>18</v>
      </c>
      <c r="F418" s="2" t="s">
        <v>27</v>
      </c>
      <c r="G418" s="2">
        <v>193</v>
      </c>
      <c r="H418" s="2">
        <v>193</v>
      </c>
      <c r="I418" s="2">
        <v>9.35</v>
      </c>
      <c r="J418" s="2">
        <v>6.42</v>
      </c>
      <c r="K418" s="2">
        <v>7</v>
      </c>
      <c r="L418" s="2">
        <v>1153.8499999999999</v>
      </c>
    </row>
    <row r="419" spans="1:12" x14ac:dyDescent="0.3">
      <c r="A419" s="4" t="s">
        <v>485</v>
      </c>
      <c r="B419" s="5">
        <v>45001</v>
      </c>
      <c r="C419" s="5">
        <v>45005</v>
      </c>
      <c r="D419" s="4" t="s">
        <v>40</v>
      </c>
      <c r="E419" s="4" t="s">
        <v>14</v>
      </c>
      <c r="F419" s="4" t="s">
        <v>27</v>
      </c>
      <c r="G419" s="4">
        <v>65</v>
      </c>
      <c r="H419" s="4">
        <v>65</v>
      </c>
      <c r="I419" s="4">
        <v>11.2</v>
      </c>
      <c r="J419" s="4">
        <v>6.34</v>
      </c>
      <c r="K419" s="4">
        <v>4</v>
      </c>
      <c r="L419" s="4">
        <v>380.23</v>
      </c>
    </row>
    <row r="420" spans="1:12" x14ac:dyDescent="0.3">
      <c r="A420" s="2" t="s">
        <v>486</v>
      </c>
      <c r="B420" s="3">
        <v>45262</v>
      </c>
      <c r="C420" s="3">
        <v>45263</v>
      </c>
      <c r="D420" s="2" t="s">
        <v>40</v>
      </c>
      <c r="E420" s="2" t="s">
        <v>41</v>
      </c>
      <c r="F420" s="2" t="s">
        <v>38</v>
      </c>
      <c r="G420" s="2">
        <v>109</v>
      </c>
      <c r="H420" s="2">
        <v>109</v>
      </c>
      <c r="I420" s="2">
        <v>21.27</v>
      </c>
      <c r="J420" s="2">
        <v>12.56</v>
      </c>
      <c r="K420" s="2">
        <v>4</v>
      </c>
      <c r="L420" s="2">
        <v>1771.72</v>
      </c>
    </row>
    <row r="421" spans="1:12" x14ac:dyDescent="0.3">
      <c r="A421" s="4" t="s">
        <v>487</v>
      </c>
      <c r="B421" s="5">
        <v>45233</v>
      </c>
      <c r="C421" s="5">
        <v>45236</v>
      </c>
      <c r="D421" s="4" t="s">
        <v>62</v>
      </c>
      <c r="E421" s="4" t="s">
        <v>18</v>
      </c>
      <c r="F421" s="4" t="s">
        <v>27</v>
      </c>
      <c r="G421" s="4">
        <v>138</v>
      </c>
      <c r="H421" s="4">
        <v>138</v>
      </c>
      <c r="I421" s="4">
        <v>9.64</v>
      </c>
      <c r="J421" s="4">
        <v>6</v>
      </c>
      <c r="K421" s="4">
        <v>3</v>
      </c>
      <c r="L421" s="4">
        <v>1070.6099999999999</v>
      </c>
    </row>
    <row r="422" spans="1:12" x14ac:dyDescent="0.3">
      <c r="A422" s="2" t="s">
        <v>488</v>
      </c>
      <c r="B422" s="3">
        <v>45131</v>
      </c>
      <c r="C422" s="3">
        <v>45133</v>
      </c>
      <c r="D422" s="2" t="s">
        <v>56</v>
      </c>
      <c r="E422" s="2" t="s">
        <v>14</v>
      </c>
      <c r="F422" s="2" t="s">
        <v>15</v>
      </c>
      <c r="G422" s="2">
        <v>227</v>
      </c>
      <c r="H422" s="2">
        <v>227</v>
      </c>
      <c r="I422" s="2">
        <v>13.33</v>
      </c>
      <c r="J422" s="2">
        <v>9.3000000000000007</v>
      </c>
      <c r="K422" s="2">
        <v>2</v>
      </c>
      <c r="L422" s="2">
        <v>1986.9</v>
      </c>
    </row>
    <row r="423" spans="1:12" x14ac:dyDescent="0.3">
      <c r="A423" s="4" t="s">
        <v>489</v>
      </c>
      <c r="B423" s="5">
        <v>45213</v>
      </c>
      <c r="C423" s="5">
        <v>45220</v>
      </c>
      <c r="D423" s="4" t="s">
        <v>13</v>
      </c>
      <c r="E423" s="4" t="s">
        <v>48</v>
      </c>
      <c r="F423" s="4" t="s">
        <v>15</v>
      </c>
      <c r="G423" s="4">
        <v>197</v>
      </c>
      <c r="H423" s="4">
        <v>197</v>
      </c>
      <c r="I423" s="4">
        <v>5.8</v>
      </c>
      <c r="J423" s="4">
        <v>3.89</v>
      </c>
      <c r="K423" s="4">
        <v>4</v>
      </c>
      <c r="L423" s="4">
        <v>779.14</v>
      </c>
    </row>
    <row r="424" spans="1:12" x14ac:dyDescent="0.3">
      <c r="A424" s="2" t="s">
        <v>490</v>
      </c>
      <c r="B424" s="3">
        <v>45060</v>
      </c>
      <c r="C424" s="3">
        <v>45061</v>
      </c>
      <c r="D424" s="2" t="s">
        <v>118</v>
      </c>
      <c r="E424" s="2" t="s">
        <v>48</v>
      </c>
      <c r="F424" s="2" t="s">
        <v>27</v>
      </c>
      <c r="G424" s="2">
        <v>306</v>
      </c>
      <c r="H424" s="2">
        <v>306</v>
      </c>
      <c r="I424" s="2">
        <v>5.86</v>
      </c>
      <c r="J424" s="2">
        <v>4.33</v>
      </c>
      <c r="K424" s="2">
        <v>4</v>
      </c>
      <c r="L424" s="2">
        <v>1830.81</v>
      </c>
    </row>
    <row r="425" spans="1:12" x14ac:dyDescent="0.3">
      <c r="A425" s="4" t="s">
        <v>491</v>
      </c>
      <c r="B425" s="5">
        <v>45055</v>
      </c>
      <c r="C425" s="5">
        <v>45057</v>
      </c>
      <c r="D425" s="4" t="s">
        <v>50</v>
      </c>
      <c r="E425" s="4" t="s">
        <v>48</v>
      </c>
      <c r="F425" s="4" t="s">
        <v>38</v>
      </c>
      <c r="G425" s="4">
        <v>308</v>
      </c>
      <c r="H425" s="4">
        <v>308</v>
      </c>
      <c r="I425" s="4">
        <v>5.68</v>
      </c>
      <c r="J425" s="4">
        <v>3.51</v>
      </c>
      <c r="K425" s="4">
        <v>3</v>
      </c>
      <c r="L425" s="4">
        <v>1476.06</v>
      </c>
    </row>
    <row r="426" spans="1:12" x14ac:dyDescent="0.3">
      <c r="A426" s="2" t="s">
        <v>492</v>
      </c>
      <c r="B426" s="3">
        <v>45173</v>
      </c>
      <c r="C426" s="3">
        <v>45174</v>
      </c>
      <c r="D426" s="2" t="s">
        <v>36</v>
      </c>
      <c r="E426" s="2" t="s">
        <v>48</v>
      </c>
      <c r="F426" s="2" t="s">
        <v>27</v>
      </c>
      <c r="G426" s="2">
        <v>215</v>
      </c>
      <c r="H426" s="2">
        <v>215</v>
      </c>
      <c r="I426" s="2">
        <v>8.3800000000000008</v>
      </c>
      <c r="J426" s="2">
        <v>5.74</v>
      </c>
      <c r="K426" s="2">
        <v>7</v>
      </c>
      <c r="L426" s="2">
        <v>1280.94</v>
      </c>
    </row>
    <row r="427" spans="1:12" x14ac:dyDescent="0.3">
      <c r="A427" s="4" t="s">
        <v>493</v>
      </c>
      <c r="B427" s="5">
        <v>45191</v>
      </c>
      <c r="C427" s="5">
        <v>45197</v>
      </c>
      <c r="D427" s="4" t="s">
        <v>29</v>
      </c>
      <c r="E427" s="4" t="s">
        <v>41</v>
      </c>
      <c r="F427" s="4" t="s">
        <v>15</v>
      </c>
      <c r="G427" s="4">
        <v>154</v>
      </c>
      <c r="H427" s="4">
        <v>154</v>
      </c>
      <c r="I427" s="4">
        <v>17.12</v>
      </c>
      <c r="J427" s="4">
        <v>11.72</v>
      </c>
      <c r="K427" s="4">
        <v>6</v>
      </c>
      <c r="L427" s="4">
        <v>2513.56</v>
      </c>
    </row>
    <row r="428" spans="1:12" x14ac:dyDescent="0.3">
      <c r="A428" s="2" t="s">
        <v>494</v>
      </c>
      <c r="B428" s="3">
        <v>45170</v>
      </c>
      <c r="C428" s="3">
        <v>45172</v>
      </c>
      <c r="D428" s="2" t="s">
        <v>13</v>
      </c>
      <c r="E428" s="2" t="s">
        <v>48</v>
      </c>
      <c r="F428" s="2" t="s">
        <v>19</v>
      </c>
      <c r="G428" s="2">
        <v>313</v>
      </c>
      <c r="H428" s="2">
        <v>313</v>
      </c>
      <c r="I428" s="2">
        <v>8.2100000000000009</v>
      </c>
      <c r="J428" s="2">
        <v>5.64</v>
      </c>
      <c r="K428" s="2">
        <v>4</v>
      </c>
      <c r="L428" s="2">
        <v>2552.58</v>
      </c>
    </row>
    <row r="429" spans="1:12" x14ac:dyDescent="0.3">
      <c r="A429" s="4" t="s">
        <v>495</v>
      </c>
      <c r="B429" s="5">
        <v>45050</v>
      </c>
      <c r="C429" s="5">
        <v>45052</v>
      </c>
      <c r="D429" s="4" t="s">
        <v>36</v>
      </c>
      <c r="E429" s="4" t="s">
        <v>18</v>
      </c>
      <c r="F429" s="4" t="s">
        <v>19</v>
      </c>
      <c r="G429" s="4">
        <v>137</v>
      </c>
      <c r="H429" s="4">
        <v>137</v>
      </c>
      <c r="I429" s="4">
        <v>7.6</v>
      </c>
      <c r="J429" s="4">
        <v>5.12</v>
      </c>
      <c r="K429" s="4">
        <v>7</v>
      </c>
      <c r="L429" s="4">
        <v>696.95</v>
      </c>
    </row>
    <row r="430" spans="1:12" x14ac:dyDescent="0.3">
      <c r="A430" s="2" t="s">
        <v>496</v>
      </c>
      <c r="B430" s="3">
        <v>45273</v>
      </c>
      <c r="C430" s="3">
        <v>45281</v>
      </c>
      <c r="D430" s="2" t="s">
        <v>13</v>
      </c>
      <c r="E430" s="2" t="s">
        <v>14</v>
      </c>
      <c r="F430" s="2" t="s">
        <v>27</v>
      </c>
      <c r="G430" s="2">
        <v>334</v>
      </c>
      <c r="H430" s="2">
        <v>302</v>
      </c>
      <c r="I430" s="2">
        <v>16.5</v>
      </c>
      <c r="J430" s="2">
        <v>11.87</v>
      </c>
      <c r="K430" s="2">
        <v>4</v>
      </c>
      <c r="L430" s="2">
        <v>4451.1099999999997</v>
      </c>
    </row>
    <row r="431" spans="1:12" x14ac:dyDescent="0.3">
      <c r="A431" s="4" t="s">
        <v>497</v>
      </c>
      <c r="B431" s="5">
        <v>45067</v>
      </c>
      <c r="C431" s="5">
        <v>45072</v>
      </c>
      <c r="D431" s="4" t="s">
        <v>498</v>
      </c>
      <c r="E431" s="4" t="s">
        <v>41</v>
      </c>
      <c r="F431" s="4" t="s">
        <v>38</v>
      </c>
      <c r="G431" s="4">
        <v>163</v>
      </c>
      <c r="H431" s="4">
        <v>163</v>
      </c>
      <c r="I431" s="4">
        <v>25</v>
      </c>
      <c r="J431" s="4">
        <v>14.39</v>
      </c>
      <c r="K431" s="4">
        <v>6</v>
      </c>
      <c r="L431" s="4">
        <v>2850.9</v>
      </c>
    </row>
    <row r="432" spans="1:12" x14ac:dyDescent="0.3">
      <c r="A432" s="2" t="s">
        <v>499</v>
      </c>
      <c r="B432" s="3">
        <v>44943</v>
      </c>
      <c r="C432" s="3">
        <v>44947</v>
      </c>
      <c r="D432" s="2" t="s">
        <v>40</v>
      </c>
      <c r="E432" s="2" t="s">
        <v>41</v>
      </c>
      <c r="F432" s="2" t="s">
        <v>38</v>
      </c>
      <c r="G432" s="2">
        <v>371</v>
      </c>
      <c r="H432" s="2">
        <v>371</v>
      </c>
      <c r="I432" s="2">
        <v>21.49</v>
      </c>
      <c r="J432" s="2">
        <v>12.34</v>
      </c>
      <c r="K432" s="2">
        <v>4</v>
      </c>
      <c r="L432" s="2">
        <v>5543.78</v>
      </c>
    </row>
    <row r="433" spans="1:12" x14ac:dyDescent="0.3">
      <c r="A433" s="4" t="s">
        <v>500</v>
      </c>
      <c r="B433" s="5">
        <v>45272</v>
      </c>
      <c r="C433" s="5">
        <v>45277</v>
      </c>
      <c r="D433" s="4" t="s">
        <v>29</v>
      </c>
      <c r="E433" s="4" t="s">
        <v>14</v>
      </c>
      <c r="F433" s="4" t="s">
        <v>27</v>
      </c>
      <c r="G433" s="4">
        <v>71</v>
      </c>
      <c r="H433" s="4">
        <v>71</v>
      </c>
      <c r="I433" s="4">
        <v>14.01</v>
      </c>
      <c r="J433" s="4">
        <v>8.43</v>
      </c>
      <c r="K433" s="4">
        <v>6</v>
      </c>
      <c r="L433" s="4">
        <v>735.68</v>
      </c>
    </row>
    <row r="434" spans="1:12" x14ac:dyDescent="0.3">
      <c r="A434" s="2" t="s">
        <v>501</v>
      </c>
      <c r="B434" s="3">
        <v>45240</v>
      </c>
      <c r="C434" s="3">
        <v>45242</v>
      </c>
      <c r="D434" s="2" t="s">
        <v>26</v>
      </c>
      <c r="E434" s="2" t="s">
        <v>34</v>
      </c>
      <c r="F434" s="2" t="s">
        <v>22</v>
      </c>
      <c r="G434" s="2">
        <v>275</v>
      </c>
      <c r="H434" s="2">
        <v>275</v>
      </c>
      <c r="I434" s="2">
        <v>15.77</v>
      </c>
      <c r="J434" s="2">
        <v>11.05</v>
      </c>
      <c r="K434" s="2">
        <v>5</v>
      </c>
      <c r="L434" s="2">
        <v>3400.5</v>
      </c>
    </row>
    <row r="435" spans="1:12" x14ac:dyDescent="0.3">
      <c r="A435" s="4" t="s">
        <v>502</v>
      </c>
      <c r="B435" s="5">
        <v>45019</v>
      </c>
      <c r="C435" s="5">
        <v>45021</v>
      </c>
      <c r="D435" s="4" t="s">
        <v>40</v>
      </c>
      <c r="E435" s="4" t="s">
        <v>34</v>
      </c>
      <c r="F435" s="4" t="s">
        <v>22</v>
      </c>
      <c r="G435" s="4">
        <v>71</v>
      </c>
      <c r="H435" s="4">
        <v>71</v>
      </c>
      <c r="I435" s="4">
        <v>19.239999999999998</v>
      </c>
      <c r="J435" s="4">
        <v>12.72</v>
      </c>
      <c r="K435" s="4">
        <v>4</v>
      </c>
      <c r="L435" s="4">
        <v>1276.82</v>
      </c>
    </row>
    <row r="436" spans="1:12" x14ac:dyDescent="0.3">
      <c r="A436" s="2" t="s">
        <v>503</v>
      </c>
      <c r="B436" s="3">
        <v>45169</v>
      </c>
      <c r="C436" s="3">
        <v>45171</v>
      </c>
      <c r="D436" s="2" t="s">
        <v>26</v>
      </c>
      <c r="E436" s="2" t="s">
        <v>18</v>
      </c>
      <c r="F436" s="2" t="s">
        <v>19</v>
      </c>
      <c r="G436" s="2">
        <v>235</v>
      </c>
      <c r="H436" s="2">
        <v>235</v>
      </c>
      <c r="I436" s="2" t="s">
        <v>504</v>
      </c>
      <c r="J436" s="2">
        <v>8.0500000000000007</v>
      </c>
      <c r="K436" s="2">
        <v>5</v>
      </c>
      <c r="L436" s="2">
        <v>2289.4</v>
      </c>
    </row>
    <row r="437" spans="1:12" x14ac:dyDescent="0.3">
      <c r="A437" s="4" t="s">
        <v>505</v>
      </c>
      <c r="B437" s="5">
        <v>45055</v>
      </c>
      <c r="C437" s="5">
        <v>45060</v>
      </c>
      <c r="D437" s="4" t="s">
        <v>29</v>
      </c>
      <c r="E437" s="4" t="s">
        <v>41</v>
      </c>
      <c r="F437" s="4" t="s">
        <v>15</v>
      </c>
      <c r="G437" s="4">
        <v>44</v>
      </c>
      <c r="H437" s="4">
        <v>44</v>
      </c>
      <c r="I437" s="4">
        <v>24.29</v>
      </c>
      <c r="J437" s="4">
        <v>13.65</v>
      </c>
      <c r="K437" s="4">
        <v>6</v>
      </c>
      <c r="L437" s="4">
        <v>833.81</v>
      </c>
    </row>
    <row r="438" spans="1:12" x14ac:dyDescent="0.3">
      <c r="A438" s="2" t="s">
        <v>506</v>
      </c>
      <c r="B438" s="3">
        <v>45098</v>
      </c>
      <c r="C438" s="3">
        <v>45101</v>
      </c>
      <c r="D438" s="2" t="s">
        <v>36</v>
      </c>
      <c r="E438" s="2" t="s">
        <v>14</v>
      </c>
      <c r="F438" s="2" t="s">
        <v>22</v>
      </c>
      <c r="G438" s="2">
        <v>306</v>
      </c>
      <c r="H438" s="2">
        <v>306</v>
      </c>
      <c r="I438" s="2">
        <v>15.43</v>
      </c>
      <c r="J438" s="2">
        <v>9.5500000000000007</v>
      </c>
      <c r="K438" s="2">
        <v>7</v>
      </c>
      <c r="L438" s="2">
        <v>3352.04</v>
      </c>
    </row>
    <row r="439" spans="1:12" x14ac:dyDescent="0.3">
      <c r="A439" s="4" t="s">
        <v>507</v>
      </c>
      <c r="B439" s="5">
        <v>45222</v>
      </c>
      <c r="C439" s="5">
        <v>45228</v>
      </c>
      <c r="D439" s="4" t="s">
        <v>29</v>
      </c>
      <c r="E439" s="4" t="s">
        <v>48</v>
      </c>
      <c r="F439" s="4" t="s">
        <v>19</v>
      </c>
      <c r="G439" s="4">
        <v>295</v>
      </c>
      <c r="H439" s="4">
        <v>295</v>
      </c>
      <c r="I439" s="4">
        <v>7.61</v>
      </c>
      <c r="J439" s="4">
        <v>4.7300000000000004</v>
      </c>
      <c r="K439" s="4">
        <v>6</v>
      </c>
      <c r="L439" s="4">
        <v>1819.42</v>
      </c>
    </row>
    <row r="440" spans="1:12" x14ac:dyDescent="0.3">
      <c r="A440" s="2" t="s">
        <v>508</v>
      </c>
      <c r="B440" s="3">
        <v>45122</v>
      </c>
      <c r="C440" s="3">
        <v>45126</v>
      </c>
      <c r="D440" s="2" t="s">
        <v>36</v>
      </c>
      <c r="E440" s="2" t="s">
        <v>41</v>
      </c>
      <c r="F440" s="2" t="s">
        <v>27</v>
      </c>
      <c r="G440" s="2">
        <v>343</v>
      </c>
      <c r="H440" s="2">
        <v>343</v>
      </c>
      <c r="I440" s="2">
        <v>26.42</v>
      </c>
      <c r="J440" s="2">
        <v>17.920000000000002</v>
      </c>
      <c r="K440" s="2">
        <v>7</v>
      </c>
      <c r="L440" s="2">
        <v>8956.4</v>
      </c>
    </row>
    <row r="441" spans="1:12" x14ac:dyDescent="0.3">
      <c r="A441" s="4" t="s">
        <v>509</v>
      </c>
      <c r="B441" s="5">
        <v>45134</v>
      </c>
      <c r="C441" s="5">
        <v>45135</v>
      </c>
      <c r="D441" s="4" t="s">
        <v>40</v>
      </c>
      <c r="E441" s="4" t="s">
        <v>48</v>
      </c>
      <c r="F441" s="4" t="s">
        <v>38</v>
      </c>
      <c r="G441" s="4">
        <v>60</v>
      </c>
      <c r="H441" s="4">
        <v>60</v>
      </c>
      <c r="I441" s="4">
        <v>5.62</v>
      </c>
      <c r="J441" s="4">
        <v>3.45</v>
      </c>
      <c r="K441" s="4">
        <v>4</v>
      </c>
      <c r="L441" s="4">
        <v>222.49</v>
      </c>
    </row>
    <row r="442" spans="1:12" x14ac:dyDescent="0.3">
      <c r="A442" s="2" t="s">
        <v>510</v>
      </c>
      <c r="B442" s="3">
        <v>45065</v>
      </c>
      <c r="C442" s="3">
        <v>45067</v>
      </c>
      <c r="D442" s="2" t="s">
        <v>50</v>
      </c>
      <c r="E442" s="2" t="s">
        <v>48</v>
      </c>
      <c r="F442" s="2" t="s">
        <v>22</v>
      </c>
      <c r="G442" s="2">
        <v>320</v>
      </c>
      <c r="H442" s="2">
        <v>320</v>
      </c>
      <c r="I442" s="2">
        <v>6.42</v>
      </c>
      <c r="J442" s="2">
        <v>3.75</v>
      </c>
      <c r="K442" s="2">
        <v>3</v>
      </c>
      <c r="L442" s="2">
        <v>1695.03</v>
      </c>
    </row>
    <row r="443" spans="1:12" x14ac:dyDescent="0.3">
      <c r="A443" s="4" t="s">
        <v>507</v>
      </c>
      <c r="B443" s="5">
        <v>45285</v>
      </c>
      <c r="C443" s="5">
        <v>45286</v>
      </c>
      <c r="D443" s="4" t="s">
        <v>79</v>
      </c>
      <c r="E443" s="4" t="s">
        <v>18</v>
      </c>
      <c r="F443" s="4" t="s">
        <v>15</v>
      </c>
      <c r="G443" s="4">
        <v>105</v>
      </c>
      <c r="H443" s="4">
        <v>105</v>
      </c>
      <c r="I443" s="4">
        <v>6.86</v>
      </c>
      <c r="J443" s="4">
        <v>5.0599999999999996</v>
      </c>
      <c r="K443" s="4">
        <v>2</v>
      </c>
      <c r="L443" s="4">
        <v>629.01</v>
      </c>
    </row>
    <row r="444" spans="1:12" x14ac:dyDescent="0.3">
      <c r="A444" s="2" t="s">
        <v>511</v>
      </c>
      <c r="B444" s="3">
        <v>45195</v>
      </c>
      <c r="C444" s="3">
        <v>45199</v>
      </c>
      <c r="D444" s="2" t="s">
        <v>33</v>
      </c>
      <c r="E444" s="2" t="s">
        <v>14</v>
      </c>
      <c r="F444" s="2" t="s">
        <v>22</v>
      </c>
      <c r="G444" s="2">
        <v>73</v>
      </c>
      <c r="H444" s="2">
        <v>73</v>
      </c>
      <c r="I444" s="2">
        <v>10.72</v>
      </c>
      <c r="J444" s="2">
        <v>7.3</v>
      </c>
      <c r="K444" s="2">
        <v>3</v>
      </c>
      <c r="L444" s="2">
        <v>762.73</v>
      </c>
    </row>
    <row r="445" spans="1:12" x14ac:dyDescent="0.3">
      <c r="A445" s="4" t="s">
        <v>512</v>
      </c>
      <c r="B445" s="5">
        <v>45072</v>
      </c>
      <c r="C445" s="5">
        <v>45073</v>
      </c>
      <c r="D445" s="4" t="s">
        <v>50</v>
      </c>
      <c r="E445" s="4" t="s">
        <v>18</v>
      </c>
      <c r="F445" s="4" t="s">
        <v>19</v>
      </c>
      <c r="G445" s="4">
        <v>87</v>
      </c>
      <c r="H445" s="4">
        <v>87</v>
      </c>
      <c r="I445" s="4">
        <v>7.22</v>
      </c>
      <c r="J445" s="4">
        <v>4.0199999999999996</v>
      </c>
      <c r="K445" s="4">
        <v>3</v>
      </c>
      <c r="L445" s="4">
        <v>389.65</v>
      </c>
    </row>
    <row r="446" spans="1:12" x14ac:dyDescent="0.3">
      <c r="A446" s="2" t="s">
        <v>513</v>
      </c>
      <c r="B446" s="3">
        <v>45203</v>
      </c>
      <c r="C446" s="3">
        <v>45208</v>
      </c>
      <c r="D446" s="2" t="s">
        <v>29</v>
      </c>
      <c r="E446" s="2" t="s">
        <v>41</v>
      </c>
      <c r="F446" s="2" t="s">
        <v>22</v>
      </c>
      <c r="G446" s="2">
        <v>247</v>
      </c>
      <c r="H446" s="2">
        <v>247</v>
      </c>
      <c r="I446" s="2">
        <v>27.38</v>
      </c>
      <c r="J446" s="2">
        <v>18.010000000000002</v>
      </c>
      <c r="K446" s="2">
        <v>6</v>
      </c>
      <c r="L446" s="2">
        <v>5580.6</v>
      </c>
    </row>
    <row r="447" spans="1:12" x14ac:dyDescent="0.3">
      <c r="A447" s="4" t="s">
        <v>514</v>
      </c>
      <c r="B447" s="5">
        <v>45195</v>
      </c>
      <c r="C447" s="5">
        <v>45200</v>
      </c>
      <c r="D447" s="4" t="s">
        <v>36</v>
      </c>
      <c r="E447" s="4" t="s">
        <v>48</v>
      </c>
      <c r="F447" s="4" t="s">
        <v>22</v>
      </c>
      <c r="G447" s="4">
        <v>178</v>
      </c>
      <c r="H447" s="4">
        <v>178</v>
      </c>
      <c r="I447" s="4">
        <v>6.53</v>
      </c>
      <c r="J447" s="4">
        <v>3.89</v>
      </c>
      <c r="K447" s="4">
        <v>7</v>
      </c>
      <c r="L447" s="4">
        <v>660.38</v>
      </c>
    </row>
    <row r="448" spans="1:12" x14ac:dyDescent="0.3">
      <c r="A448" s="2" t="s">
        <v>514</v>
      </c>
      <c r="B448" s="3">
        <v>45060</v>
      </c>
      <c r="C448" s="3">
        <v>45061</v>
      </c>
      <c r="D448" s="2" t="s">
        <v>62</v>
      </c>
      <c r="E448" s="2" t="s">
        <v>34</v>
      </c>
      <c r="F448" s="2" t="s">
        <v>22</v>
      </c>
      <c r="G448" s="2">
        <v>20</v>
      </c>
      <c r="H448" s="2">
        <v>20</v>
      </c>
      <c r="I448" s="2">
        <v>18.82</v>
      </c>
      <c r="J448" s="2">
        <v>10.86</v>
      </c>
      <c r="K448" s="2">
        <v>3</v>
      </c>
      <c r="L448" s="2">
        <v>232.85</v>
      </c>
    </row>
    <row r="449" spans="1:12" x14ac:dyDescent="0.3">
      <c r="A449" s="4" t="s">
        <v>515</v>
      </c>
      <c r="B449" s="5">
        <v>45080</v>
      </c>
      <c r="C449" s="5">
        <v>45082</v>
      </c>
      <c r="D449" s="4" t="s">
        <v>33</v>
      </c>
      <c r="E449" s="4" t="s">
        <v>41</v>
      </c>
      <c r="F449" s="4" t="s">
        <v>22</v>
      </c>
      <c r="G449" s="4">
        <v>169</v>
      </c>
      <c r="H449" s="4">
        <v>169</v>
      </c>
      <c r="I449" s="4">
        <v>25.56</v>
      </c>
      <c r="J449" s="4">
        <v>16.86</v>
      </c>
      <c r="K449" s="4">
        <v>3</v>
      </c>
      <c r="L449" s="4">
        <v>2886.79</v>
      </c>
    </row>
    <row r="450" spans="1:12" x14ac:dyDescent="0.3">
      <c r="A450" s="2" t="s">
        <v>516</v>
      </c>
      <c r="B450" s="3">
        <v>45010</v>
      </c>
      <c r="C450" s="3">
        <v>45014</v>
      </c>
      <c r="D450" s="2" t="s">
        <v>40</v>
      </c>
      <c r="E450" s="2" t="s">
        <v>41</v>
      </c>
      <c r="F450" s="2" t="s">
        <v>19</v>
      </c>
      <c r="G450" s="2">
        <v>213</v>
      </c>
      <c r="H450" s="2">
        <v>213</v>
      </c>
      <c r="I450" s="2">
        <v>16.95</v>
      </c>
      <c r="J450" s="2">
        <v>11.44</v>
      </c>
      <c r="K450" s="2">
        <v>4</v>
      </c>
      <c r="L450" s="2">
        <v>2948.35</v>
      </c>
    </row>
    <row r="451" spans="1:12" x14ac:dyDescent="0.3">
      <c r="A451" s="4" t="s">
        <v>517</v>
      </c>
      <c r="B451" s="5">
        <v>45064</v>
      </c>
      <c r="C451" s="5">
        <v>45065</v>
      </c>
      <c r="D451" s="4" t="s">
        <v>50</v>
      </c>
      <c r="E451" s="4" t="s">
        <v>34</v>
      </c>
      <c r="F451" s="4" t="s">
        <v>38</v>
      </c>
      <c r="G451" s="4">
        <v>113</v>
      </c>
      <c r="H451" s="4">
        <v>113</v>
      </c>
      <c r="I451" s="4">
        <v>12.99</v>
      </c>
      <c r="J451" s="4">
        <v>8.33</v>
      </c>
      <c r="K451" s="4">
        <v>3</v>
      </c>
      <c r="L451" s="4">
        <v>1102.8699999999999</v>
      </c>
    </row>
    <row r="452" spans="1:12" x14ac:dyDescent="0.3">
      <c r="A452" s="2" t="s">
        <v>518</v>
      </c>
      <c r="B452" s="3">
        <v>44936</v>
      </c>
      <c r="C452" s="3">
        <v>44941</v>
      </c>
      <c r="D452" s="2" t="s">
        <v>36</v>
      </c>
      <c r="E452" s="2" t="s">
        <v>18</v>
      </c>
      <c r="F452" s="2" t="s">
        <v>15</v>
      </c>
      <c r="G452" s="2">
        <v>31</v>
      </c>
      <c r="H452" s="2">
        <v>31</v>
      </c>
      <c r="I452" s="2">
        <v>6.89</v>
      </c>
      <c r="J452" s="2">
        <v>4.16</v>
      </c>
      <c r="K452" s="2">
        <v>7</v>
      </c>
      <c r="L452" s="2">
        <v>171.4</v>
      </c>
    </row>
    <row r="453" spans="1:12" x14ac:dyDescent="0.3">
      <c r="A453" s="4" t="s">
        <v>519</v>
      </c>
      <c r="B453" s="5">
        <v>45004</v>
      </c>
      <c r="C453" s="5">
        <v>45005</v>
      </c>
      <c r="D453" s="4" t="s">
        <v>520</v>
      </c>
      <c r="E453" s="4" t="s">
        <v>18</v>
      </c>
      <c r="F453" s="4" t="s">
        <v>27</v>
      </c>
      <c r="G453" s="4">
        <v>195</v>
      </c>
      <c r="H453" s="4">
        <v>195</v>
      </c>
      <c r="I453" s="4">
        <v>10.17</v>
      </c>
      <c r="J453" s="4">
        <v>6.61</v>
      </c>
      <c r="K453" s="4">
        <v>3</v>
      </c>
      <c r="L453" s="4">
        <v>1447.28</v>
      </c>
    </row>
    <row r="454" spans="1:12" x14ac:dyDescent="0.3">
      <c r="A454" s="2" t="s">
        <v>521</v>
      </c>
      <c r="B454" s="3">
        <v>45001</v>
      </c>
      <c r="C454" s="3">
        <v>45003</v>
      </c>
      <c r="D454" s="2" t="s">
        <v>33</v>
      </c>
      <c r="E454" s="2" t="s">
        <v>34</v>
      </c>
      <c r="F454" s="2" t="s">
        <v>27</v>
      </c>
      <c r="G454" s="2">
        <v>56</v>
      </c>
      <c r="H454" s="2">
        <v>56</v>
      </c>
      <c r="I454" s="2">
        <v>13.63</v>
      </c>
      <c r="J454" s="2">
        <v>9.94</v>
      </c>
      <c r="K454" s="2">
        <v>3</v>
      </c>
      <c r="L454" s="2">
        <v>584.5</v>
      </c>
    </row>
    <row r="455" spans="1:12" x14ac:dyDescent="0.3">
      <c r="A455" s="4" t="s">
        <v>522</v>
      </c>
      <c r="B455" s="5">
        <v>45054</v>
      </c>
      <c r="C455" s="5">
        <v>45058</v>
      </c>
      <c r="D455" s="4" t="s">
        <v>40</v>
      </c>
      <c r="E455" s="4" t="s">
        <v>14</v>
      </c>
      <c r="F455" s="4" t="s">
        <v>27</v>
      </c>
      <c r="G455" s="4">
        <v>146</v>
      </c>
      <c r="H455" s="4">
        <v>146</v>
      </c>
      <c r="I455" s="4">
        <v>9.84</v>
      </c>
      <c r="J455" s="4">
        <v>6.32</v>
      </c>
      <c r="K455" s="4">
        <v>4</v>
      </c>
      <c r="L455" s="4">
        <v>1257.3</v>
      </c>
    </row>
    <row r="456" spans="1:12" x14ac:dyDescent="0.3">
      <c r="A456" s="2" t="s">
        <v>523</v>
      </c>
      <c r="B456" s="3">
        <v>45275</v>
      </c>
      <c r="C456" s="3">
        <v>45283</v>
      </c>
      <c r="D456" s="2" t="s">
        <v>26</v>
      </c>
      <c r="E456" s="2" t="s">
        <v>41</v>
      </c>
      <c r="F456" s="2" t="s">
        <v>22</v>
      </c>
      <c r="G456" s="2">
        <v>101</v>
      </c>
      <c r="H456" s="2">
        <v>101</v>
      </c>
      <c r="I456" s="2">
        <v>16.510000000000002</v>
      </c>
      <c r="J456" s="2">
        <v>12.18</v>
      </c>
      <c r="K456" s="2">
        <v>5</v>
      </c>
      <c r="L456" s="2">
        <v>1491.66</v>
      </c>
    </row>
    <row r="457" spans="1:12" x14ac:dyDescent="0.3">
      <c r="A457" s="4" t="s">
        <v>524</v>
      </c>
      <c r="B457" s="5">
        <v>45028</v>
      </c>
      <c r="C457" s="5">
        <v>45029</v>
      </c>
      <c r="D457" s="4" t="s">
        <v>50</v>
      </c>
      <c r="E457" s="4" t="s">
        <v>41</v>
      </c>
      <c r="F457" s="4" t="s">
        <v>15</v>
      </c>
      <c r="G457" s="4">
        <v>361</v>
      </c>
      <c r="H457" s="4">
        <v>361</v>
      </c>
      <c r="I457" s="4">
        <v>17.36</v>
      </c>
      <c r="J457" s="4">
        <v>11.75</v>
      </c>
      <c r="K457" s="4">
        <v>3</v>
      </c>
      <c r="L457" s="4">
        <v>4643.4799999999996</v>
      </c>
    </row>
    <row r="458" spans="1:12" x14ac:dyDescent="0.3">
      <c r="A458" s="2" t="s">
        <v>525</v>
      </c>
      <c r="B458" s="3">
        <v>44988</v>
      </c>
      <c r="C458" s="3">
        <v>44989</v>
      </c>
      <c r="D458" s="2" t="s">
        <v>56</v>
      </c>
      <c r="E458" s="2" t="s">
        <v>34</v>
      </c>
      <c r="F458" s="2" t="s">
        <v>38</v>
      </c>
      <c r="G458" s="2">
        <v>24</v>
      </c>
      <c r="H458" s="2">
        <v>24</v>
      </c>
      <c r="I458" s="2">
        <v>17.23</v>
      </c>
      <c r="J458" s="2">
        <v>11.86</v>
      </c>
      <c r="K458" s="2">
        <v>2</v>
      </c>
      <c r="L458" s="2">
        <v>373.74</v>
      </c>
    </row>
    <row r="459" spans="1:12" x14ac:dyDescent="0.3">
      <c r="A459" s="4" t="s">
        <v>526</v>
      </c>
      <c r="B459" s="5">
        <v>45054</v>
      </c>
      <c r="C459" s="5">
        <v>45053</v>
      </c>
      <c r="D459" s="4" t="s">
        <v>56</v>
      </c>
      <c r="E459" s="4" t="s">
        <v>34</v>
      </c>
      <c r="F459" s="4" t="s">
        <v>27</v>
      </c>
      <c r="G459" s="4">
        <v>371</v>
      </c>
      <c r="H459" s="4">
        <v>371</v>
      </c>
      <c r="I459" s="4">
        <v>20.38</v>
      </c>
      <c r="J459" s="4">
        <v>15.27</v>
      </c>
      <c r="K459" s="4">
        <v>2</v>
      </c>
      <c r="L459" s="4">
        <v>7223.54</v>
      </c>
    </row>
    <row r="460" spans="1:12" x14ac:dyDescent="0.3">
      <c r="A460" s="2" t="s">
        <v>527</v>
      </c>
      <c r="B460" s="3">
        <v>45286</v>
      </c>
      <c r="C460" s="3">
        <v>45287</v>
      </c>
      <c r="D460" s="2" t="s">
        <v>33</v>
      </c>
      <c r="E460" s="2" t="s">
        <v>34</v>
      </c>
      <c r="F460" s="2" t="s">
        <v>19</v>
      </c>
      <c r="G460" s="2">
        <v>84</v>
      </c>
      <c r="H460" s="2">
        <v>109</v>
      </c>
      <c r="I460" s="2">
        <v>14.85</v>
      </c>
      <c r="J460" s="2">
        <v>9.83</v>
      </c>
      <c r="K460" s="2">
        <v>3</v>
      </c>
      <c r="L460" s="2">
        <v>1062.53</v>
      </c>
    </row>
    <row r="461" spans="1:12" x14ac:dyDescent="0.3">
      <c r="A461" s="4" t="s">
        <v>528</v>
      </c>
      <c r="B461" s="5">
        <v>44937</v>
      </c>
      <c r="C461" s="5">
        <v>44940</v>
      </c>
      <c r="D461" s="4" t="s">
        <v>29</v>
      </c>
      <c r="E461" s="4" t="s">
        <v>41</v>
      </c>
      <c r="F461" s="4" t="s">
        <v>19</v>
      </c>
      <c r="G461" s="4">
        <v>390</v>
      </c>
      <c r="H461" s="4">
        <v>390</v>
      </c>
      <c r="I461" s="4">
        <v>26.78</v>
      </c>
      <c r="J461" s="4">
        <v>17.329999999999998</v>
      </c>
      <c r="K461" s="4">
        <v>6</v>
      </c>
      <c r="L461" s="4">
        <v>7856.99</v>
      </c>
    </row>
    <row r="462" spans="1:12" x14ac:dyDescent="0.3">
      <c r="A462" s="2" t="s">
        <v>529</v>
      </c>
      <c r="B462" s="3">
        <v>45024</v>
      </c>
      <c r="C462" s="3">
        <v>45027</v>
      </c>
      <c r="D462" s="2" t="s">
        <v>62</v>
      </c>
      <c r="E462" s="2" t="s">
        <v>48</v>
      </c>
      <c r="F462" s="2" t="s">
        <v>22</v>
      </c>
      <c r="G462" s="2">
        <v>198</v>
      </c>
      <c r="H462" s="2">
        <v>198</v>
      </c>
      <c r="I462" s="2">
        <v>6.49</v>
      </c>
      <c r="J462" s="2">
        <v>4.7</v>
      </c>
      <c r="K462" s="2">
        <v>3</v>
      </c>
      <c r="L462" s="2">
        <v>1171.82</v>
      </c>
    </row>
    <row r="463" spans="1:12" x14ac:dyDescent="0.3">
      <c r="A463" s="4" t="s">
        <v>530</v>
      </c>
      <c r="B463" s="5">
        <v>45006</v>
      </c>
      <c r="C463" s="5">
        <v>45008</v>
      </c>
      <c r="D463" s="4" t="s">
        <v>56</v>
      </c>
      <c r="E463" s="4" t="s">
        <v>14</v>
      </c>
      <c r="F463" s="4" t="s">
        <v>38</v>
      </c>
      <c r="G463" s="4">
        <v>297</v>
      </c>
      <c r="H463" s="4">
        <v>297</v>
      </c>
      <c r="I463" s="4">
        <v>9.61</v>
      </c>
      <c r="J463" s="4">
        <v>6.51</v>
      </c>
      <c r="K463" s="4">
        <v>2</v>
      </c>
      <c r="L463" s="4">
        <v>2179.84</v>
      </c>
    </row>
    <row r="464" spans="1:12" x14ac:dyDescent="0.3">
      <c r="A464" s="2" t="s">
        <v>531</v>
      </c>
      <c r="B464" s="3">
        <v>45113</v>
      </c>
      <c r="C464" s="3">
        <v>45114</v>
      </c>
      <c r="D464" s="2" t="s">
        <v>56</v>
      </c>
      <c r="E464" s="2" t="s">
        <v>14</v>
      </c>
      <c r="F464" s="2" t="s">
        <v>38</v>
      </c>
      <c r="G464" s="2">
        <v>184</v>
      </c>
      <c r="H464" s="2">
        <v>184</v>
      </c>
      <c r="I464" s="2">
        <v>14.34</v>
      </c>
      <c r="J464" s="2">
        <v>9.43</v>
      </c>
      <c r="K464" s="2">
        <v>2</v>
      </c>
      <c r="L464" s="2">
        <v>1965.01</v>
      </c>
    </row>
    <row r="465" spans="1:12" x14ac:dyDescent="0.3">
      <c r="A465" s="4" t="s">
        <v>532</v>
      </c>
      <c r="B465" s="5">
        <v>45240</v>
      </c>
      <c r="C465" s="5">
        <v>45244</v>
      </c>
      <c r="D465" s="4" t="s">
        <v>36</v>
      </c>
      <c r="E465" s="4" t="s">
        <v>48</v>
      </c>
      <c r="F465" s="4" t="s">
        <v>19</v>
      </c>
      <c r="G465" s="4">
        <v>348</v>
      </c>
      <c r="H465" s="4">
        <v>348</v>
      </c>
      <c r="I465" s="4">
        <v>5.15</v>
      </c>
      <c r="J465" s="4">
        <v>3.51</v>
      </c>
      <c r="K465" s="4">
        <v>7</v>
      </c>
      <c r="L465" s="4">
        <v>1131.42</v>
      </c>
    </row>
    <row r="466" spans="1:12" x14ac:dyDescent="0.3">
      <c r="A466" s="2" t="s">
        <v>533</v>
      </c>
      <c r="B466" s="3">
        <v>45030</v>
      </c>
      <c r="C466" s="3">
        <v>45031</v>
      </c>
      <c r="D466" s="2" t="s">
        <v>56</v>
      </c>
      <c r="E466" s="2" t="s">
        <v>18</v>
      </c>
      <c r="F466" s="2" t="s">
        <v>27</v>
      </c>
      <c r="G466" s="2">
        <v>70</v>
      </c>
      <c r="H466" s="2">
        <v>69</v>
      </c>
      <c r="I466" s="2">
        <v>10.41</v>
      </c>
      <c r="J466" s="2">
        <v>7.1</v>
      </c>
      <c r="K466" s="2">
        <v>2</v>
      </c>
      <c r="L466" s="2">
        <v>604.1</v>
      </c>
    </row>
    <row r="467" spans="1:12" x14ac:dyDescent="0.3">
      <c r="A467" s="4" t="s">
        <v>534</v>
      </c>
      <c r="B467" s="5">
        <v>45040</v>
      </c>
      <c r="C467" s="5">
        <v>45041</v>
      </c>
      <c r="D467" s="4" t="s">
        <v>50</v>
      </c>
      <c r="E467" s="4" t="s">
        <v>14</v>
      </c>
      <c r="F467" s="4" t="s">
        <v>15</v>
      </c>
      <c r="G467" s="4">
        <v>26</v>
      </c>
      <c r="H467" s="4">
        <v>26</v>
      </c>
      <c r="I467" s="4">
        <v>11.1</v>
      </c>
      <c r="J467" s="4">
        <v>7.2</v>
      </c>
      <c r="K467" s="4">
        <v>3</v>
      </c>
      <c r="L467" s="4">
        <v>268.42</v>
      </c>
    </row>
    <row r="468" spans="1:12" x14ac:dyDescent="0.3">
      <c r="A468" s="2" t="s">
        <v>535</v>
      </c>
      <c r="B468" s="3">
        <v>45111</v>
      </c>
      <c r="C468" s="3">
        <v>45115</v>
      </c>
      <c r="D468" s="2" t="s">
        <v>13</v>
      </c>
      <c r="E468" s="2" t="s">
        <v>41</v>
      </c>
      <c r="F468" s="2" t="s">
        <v>27</v>
      </c>
      <c r="G468" s="2">
        <v>208</v>
      </c>
      <c r="H468" s="2">
        <v>208</v>
      </c>
      <c r="I468" s="2">
        <v>16.7</v>
      </c>
      <c r="J468" s="2">
        <v>11.25</v>
      </c>
      <c r="K468" s="2">
        <v>4</v>
      </c>
      <c r="L468" s="2">
        <v>2848.75</v>
      </c>
    </row>
    <row r="469" spans="1:12" x14ac:dyDescent="0.3">
      <c r="A469" s="4" t="s">
        <v>536</v>
      </c>
      <c r="B469" s="5">
        <v>45037</v>
      </c>
      <c r="C469" s="5">
        <v>45042</v>
      </c>
      <c r="D469" s="4" t="s">
        <v>17</v>
      </c>
      <c r="E469" s="4" t="s">
        <v>34</v>
      </c>
      <c r="F469" s="4" t="s">
        <v>27</v>
      </c>
      <c r="G469" s="4">
        <v>71</v>
      </c>
      <c r="H469" s="4">
        <v>71</v>
      </c>
      <c r="I469" s="4">
        <v>16.78</v>
      </c>
      <c r="J469" s="4">
        <v>9.86</v>
      </c>
      <c r="K469" s="4">
        <v>4</v>
      </c>
      <c r="L469" s="4">
        <v>851.07</v>
      </c>
    </row>
    <row r="470" spans="1:12" x14ac:dyDescent="0.3">
      <c r="A470" s="2" t="s">
        <v>537</v>
      </c>
      <c r="B470" s="3">
        <v>45212</v>
      </c>
      <c r="C470" s="3">
        <v>45216</v>
      </c>
      <c r="D470" s="2" t="s">
        <v>26</v>
      </c>
      <c r="E470" s="2" t="s">
        <v>48</v>
      </c>
      <c r="F470" s="2" t="s">
        <v>19</v>
      </c>
      <c r="G470" s="2">
        <v>74</v>
      </c>
      <c r="H470" s="2">
        <v>74</v>
      </c>
      <c r="I470" s="2">
        <v>6.88</v>
      </c>
      <c r="J470" s="2">
        <v>4.71</v>
      </c>
      <c r="K470" s="2">
        <v>5</v>
      </c>
      <c r="L470" s="2">
        <v>460.61</v>
      </c>
    </row>
    <row r="471" spans="1:12" x14ac:dyDescent="0.3">
      <c r="A471" s="4" t="s">
        <v>538</v>
      </c>
      <c r="B471" s="5">
        <v>45019</v>
      </c>
      <c r="C471" s="5">
        <v>45022</v>
      </c>
      <c r="D471" s="4" t="s">
        <v>40</v>
      </c>
      <c r="E471" s="4" t="s">
        <v>14</v>
      </c>
      <c r="F471" s="4" t="s">
        <v>19</v>
      </c>
      <c r="G471" s="4">
        <v>356</v>
      </c>
      <c r="H471" s="4">
        <v>356</v>
      </c>
      <c r="I471" s="4">
        <v>16.79</v>
      </c>
      <c r="J471" s="4">
        <v>10.72</v>
      </c>
      <c r="K471" s="4">
        <v>4</v>
      </c>
      <c r="L471" s="4">
        <v>4241.4399999999996</v>
      </c>
    </row>
    <row r="472" spans="1:12" x14ac:dyDescent="0.3">
      <c r="A472" s="2" t="s">
        <v>539</v>
      </c>
      <c r="B472" s="3">
        <v>45117</v>
      </c>
      <c r="C472" s="3">
        <v>45123</v>
      </c>
      <c r="D472" s="2" t="s">
        <v>29</v>
      </c>
      <c r="E472" s="2" t="s">
        <v>48</v>
      </c>
      <c r="F472" s="2" t="s">
        <v>15</v>
      </c>
      <c r="G472" s="2">
        <v>240</v>
      </c>
      <c r="H472" s="2">
        <v>240</v>
      </c>
      <c r="I472" s="2">
        <v>5.96</v>
      </c>
      <c r="J472" s="2">
        <v>3.56</v>
      </c>
      <c r="K472" s="2">
        <v>6</v>
      </c>
      <c r="L472" s="2">
        <v>1048.67</v>
      </c>
    </row>
    <row r="473" spans="1:12" x14ac:dyDescent="0.3">
      <c r="A473" s="4" t="s">
        <v>540</v>
      </c>
      <c r="B473" s="5">
        <v>45111</v>
      </c>
      <c r="C473" s="5">
        <v>45119</v>
      </c>
      <c r="D473" s="4" t="s">
        <v>132</v>
      </c>
      <c r="E473" s="4" t="s">
        <v>48</v>
      </c>
      <c r="F473" s="4" t="s">
        <v>15</v>
      </c>
      <c r="G473" s="4">
        <v>223</v>
      </c>
      <c r="H473" s="4">
        <v>160</v>
      </c>
      <c r="I473" s="4">
        <v>8.34</v>
      </c>
      <c r="J473" s="4">
        <v>5.58</v>
      </c>
      <c r="K473" s="4">
        <v>4</v>
      </c>
      <c r="L473" s="4">
        <v>1506.36</v>
      </c>
    </row>
    <row r="474" spans="1:12" x14ac:dyDescent="0.3">
      <c r="A474" s="2" t="s">
        <v>541</v>
      </c>
      <c r="B474" s="3">
        <v>45040</v>
      </c>
      <c r="C474" s="3">
        <v>45042</v>
      </c>
      <c r="D474" s="2" t="s">
        <v>50</v>
      </c>
      <c r="E474" s="2" t="s">
        <v>14</v>
      </c>
      <c r="F474" s="2" t="s">
        <v>15</v>
      </c>
      <c r="G474" s="2">
        <v>31</v>
      </c>
      <c r="H474" s="2">
        <v>31</v>
      </c>
      <c r="I474" s="2">
        <v>16.39</v>
      </c>
      <c r="J474" s="2">
        <v>11.71</v>
      </c>
      <c r="K474" s="2">
        <v>3</v>
      </c>
      <c r="L474" s="2">
        <v>526.9</v>
      </c>
    </row>
    <row r="475" spans="1:12" x14ac:dyDescent="0.3">
      <c r="A475" s="4" t="s">
        <v>542</v>
      </c>
      <c r="B475" s="5">
        <v>45162</v>
      </c>
      <c r="C475" s="5">
        <v>45163</v>
      </c>
      <c r="D475" s="4" t="s">
        <v>56</v>
      </c>
      <c r="E475" s="4" t="s">
        <v>14</v>
      </c>
      <c r="F475" s="4" t="s">
        <v>27</v>
      </c>
      <c r="G475" s="4">
        <v>155</v>
      </c>
      <c r="H475" s="4">
        <v>155</v>
      </c>
      <c r="I475" s="4">
        <v>13.79</v>
      </c>
      <c r="J475" s="4">
        <v>8.23</v>
      </c>
      <c r="K475" s="4">
        <v>2</v>
      </c>
      <c r="L475" s="4">
        <v>1768.87</v>
      </c>
    </row>
    <row r="476" spans="1:12" x14ac:dyDescent="0.3">
      <c r="A476" s="2" t="s">
        <v>543</v>
      </c>
      <c r="B476" s="3">
        <v>45218</v>
      </c>
      <c r="C476" s="3">
        <v>45228</v>
      </c>
      <c r="D476" s="2" t="s">
        <v>13</v>
      </c>
      <c r="E476" s="2" t="s">
        <v>48</v>
      </c>
      <c r="F476" s="2" t="s">
        <v>22</v>
      </c>
      <c r="G476" s="2">
        <v>59</v>
      </c>
      <c r="H476" s="2">
        <v>59</v>
      </c>
      <c r="I476" s="2">
        <v>7.65</v>
      </c>
      <c r="J476" s="2">
        <v>4.47</v>
      </c>
      <c r="K476" s="2">
        <v>4</v>
      </c>
      <c r="L476" s="2">
        <v>368.01</v>
      </c>
    </row>
    <row r="477" spans="1:12" x14ac:dyDescent="0.3">
      <c r="A477" s="4" t="s">
        <v>544</v>
      </c>
      <c r="B477" s="5">
        <v>44946</v>
      </c>
      <c r="C477" s="5">
        <v>44950</v>
      </c>
      <c r="D477" s="4" t="s">
        <v>13</v>
      </c>
      <c r="E477" s="4" t="s">
        <v>48</v>
      </c>
      <c r="F477" s="4" t="s">
        <v>15</v>
      </c>
      <c r="G477" s="4">
        <v>60</v>
      </c>
      <c r="H477" s="4">
        <v>60</v>
      </c>
      <c r="I477" s="4">
        <v>8.1199999999999992</v>
      </c>
      <c r="J477" s="4">
        <v>5.01</v>
      </c>
      <c r="K477" s="4">
        <v>4</v>
      </c>
      <c r="L477" s="4">
        <v>429.22</v>
      </c>
    </row>
    <row r="478" spans="1:12" x14ac:dyDescent="0.3">
      <c r="A478" s="2" t="s">
        <v>545</v>
      </c>
      <c r="B478" s="3">
        <v>45043</v>
      </c>
      <c r="C478" s="3">
        <v>45044</v>
      </c>
      <c r="D478" s="2" t="s">
        <v>40</v>
      </c>
      <c r="E478" s="2" t="s">
        <v>41</v>
      </c>
      <c r="F478" s="2" t="s">
        <v>27</v>
      </c>
      <c r="G478" s="2">
        <v>344</v>
      </c>
      <c r="H478" s="2">
        <v>344</v>
      </c>
      <c r="I478" s="2">
        <v>20.59</v>
      </c>
      <c r="J478" s="2">
        <v>12.58</v>
      </c>
      <c r="K478" s="2">
        <v>4</v>
      </c>
      <c r="L478" s="2">
        <v>4001.7</v>
      </c>
    </row>
    <row r="479" spans="1:12" x14ac:dyDescent="0.3">
      <c r="A479" s="4" t="s">
        <v>546</v>
      </c>
      <c r="B479" s="5">
        <v>45284</v>
      </c>
      <c r="C479" s="5">
        <v>45285</v>
      </c>
      <c r="D479" s="4" t="s">
        <v>56</v>
      </c>
      <c r="E479" s="4" t="s">
        <v>34</v>
      </c>
      <c r="F479" s="4" t="s">
        <v>38</v>
      </c>
      <c r="G479" s="4">
        <v>364</v>
      </c>
      <c r="H479" s="4">
        <v>364</v>
      </c>
      <c r="I479" s="4">
        <v>15.54</v>
      </c>
      <c r="J479" s="4">
        <v>9.93</v>
      </c>
      <c r="K479" s="4">
        <v>2</v>
      </c>
      <c r="L479" s="4">
        <v>4543.74</v>
      </c>
    </row>
    <row r="480" spans="1:12" x14ac:dyDescent="0.3">
      <c r="A480" s="2" t="s">
        <v>547</v>
      </c>
      <c r="B480" s="3">
        <v>45075</v>
      </c>
      <c r="C480" s="3">
        <v>45077</v>
      </c>
      <c r="D480" s="2" t="s">
        <v>13</v>
      </c>
      <c r="E480" s="2" t="s">
        <v>18</v>
      </c>
      <c r="F480" s="2" t="s">
        <v>22</v>
      </c>
      <c r="G480" s="2">
        <v>87</v>
      </c>
      <c r="H480" s="2">
        <v>87</v>
      </c>
      <c r="I480" s="2">
        <v>8.68</v>
      </c>
      <c r="J480" s="2">
        <v>6.07</v>
      </c>
      <c r="K480" s="2">
        <v>4</v>
      </c>
      <c r="L480" s="2">
        <v>648.97</v>
      </c>
    </row>
    <row r="481" spans="1:12" x14ac:dyDescent="0.3">
      <c r="A481" s="4" t="s">
        <v>548</v>
      </c>
      <c r="B481" s="5">
        <v>45183</v>
      </c>
      <c r="C481" s="5">
        <v>45186</v>
      </c>
      <c r="D481" s="4" t="s">
        <v>50</v>
      </c>
      <c r="E481" s="4" t="s">
        <v>14</v>
      </c>
      <c r="F481" s="4" t="s">
        <v>22</v>
      </c>
      <c r="G481" s="4">
        <v>86</v>
      </c>
      <c r="H481" s="4">
        <v>86</v>
      </c>
      <c r="I481" s="4">
        <v>13.06</v>
      </c>
      <c r="J481" s="4">
        <v>7.7</v>
      </c>
      <c r="K481" s="4">
        <v>3</v>
      </c>
      <c r="L481" s="4">
        <v>753.05</v>
      </c>
    </row>
    <row r="482" spans="1:12" x14ac:dyDescent="0.3">
      <c r="A482" s="2" t="s">
        <v>549</v>
      </c>
      <c r="B482" s="3">
        <v>45195</v>
      </c>
      <c r="C482" s="3">
        <v>45191</v>
      </c>
      <c r="D482" s="2" t="s">
        <v>26</v>
      </c>
      <c r="E482" s="2" t="s">
        <v>48</v>
      </c>
      <c r="F482" s="2" t="s">
        <v>38</v>
      </c>
      <c r="G482" s="2">
        <v>156</v>
      </c>
      <c r="H482" s="2">
        <v>156</v>
      </c>
      <c r="I482" s="2">
        <v>5.96</v>
      </c>
      <c r="J482" s="2">
        <v>4.38</v>
      </c>
      <c r="K482" s="2">
        <v>5</v>
      </c>
      <c r="L482" s="2">
        <v>651.67999999999995</v>
      </c>
    </row>
    <row r="483" spans="1:12" x14ac:dyDescent="0.3">
      <c r="A483" s="4" t="s">
        <v>550</v>
      </c>
      <c r="B483" s="5">
        <v>45105</v>
      </c>
      <c r="C483" s="5">
        <v>45108</v>
      </c>
      <c r="D483" s="4" t="s">
        <v>40</v>
      </c>
      <c r="E483" s="4" t="s">
        <v>41</v>
      </c>
      <c r="F483" s="4" t="s">
        <v>15</v>
      </c>
      <c r="G483" s="4">
        <v>324</v>
      </c>
      <c r="H483" s="4">
        <v>324</v>
      </c>
      <c r="I483" s="4">
        <v>25.24</v>
      </c>
      <c r="J483" s="4">
        <v>14.74</v>
      </c>
      <c r="K483" s="4">
        <v>4</v>
      </c>
      <c r="L483" s="4">
        <v>5300.28</v>
      </c>
    </row>
    <row r="484" spans="1:12" x14ac:dyDescent="0.3">
      <c r="A484" s="2" t="s">
        <v>551</v>
      </c>
      <c r="B484" s="3">
        <v>45152</v>
      </c>
      <c r="C484" s="3">
        <v>45159</v>
      </c>
      <c r="D484" s="2" t="s">
        <v>36</v>
      </c>
      <c r="E484" s="2" t="s">
        <v>48</v>
      </c>
      <c r="F484" s="2" t="s">
        <v>19</v>
      </c>
      <c r="G484" s="2">
        <v>139</v>
      </c>
      <c r="H484" s="2">
        <v>139</v>
      </c>
      <c r="I484" s="2">
        <v>6.15</v>
      </c>
      <c r="J484" s="2">
        <v>4.3099999999999996</v>
      </c>
      <c r="K484" s="2">
        <v>7</v>
      </c>
      <c r="L484" s="2">
        <v>845.71</v>
      </c>
    </row>
    <row r="485" spans="1:12" x14ac:dyDescent="0.3">
      <c r="A485" s="4" t="s">
        <v>552</v>
      </c>
      <c r="B485" s="5">
        <v>45244</v>
      </c>
      <c r="C485" s="5">
        <v>45251</v>
      </c>
      <c r="D485" s="4" t="s">
        <v>13</v>
      </c>
      <c r="E485" s="4" t="s">
        <v>14</v>
      </c>
      <c r="F485" s="4" t="s">
        <v>19</v>
      </c>
      <c r="G485" s="4">
        <v>27</v>
      </c>
      <c r="H485" s="4">
        <v>27</v>
      </c>
      <c r="I485" s="4">
        <v>15.39</v>
      </c>
      <c r="J485" s="4">
        <v>9.4</v>
      </c>
      <c r="K485" s="4">
        <v>4</v>
      </c>
      <c r="L485" s="4">
        <v>300.17</v>
      </c>
    </row>
    <row r="486" spans="1:12" x14ac:dyDescent="0.3">
      <c r="A486" s="2" t="s">
        <v>553</v>
      </c>
      <c r="B486" s="3">
        <v>45035</v>
      </c>
      <c r="C486" s="3">
        <v>45040</v>
      </c>
      <c r="D486" s="2" t="s">
        <v>29</v>
      </c>
      <c r="E486" s="2" t="s">
        <v>18</v>
      </c>
      <c r="F486" s="2" t="s">
        <v>38</v>
      </c>
      <c r="G486" s="2">
        <v>152</v>
      </c>
      <c r="H486" s="2">
        <v>152</v>
      </c>
      <c r="I486" s="2">
        <v>9.39</v>
      </c>
      <c r="J486" s="2">
        <v>7.03</v>
      </c>
      <c r="K486" s="2">
        <v>6</v>
      </c>
      <c r="L486" s="2">
        <v>1407.34</v>
      </c>
    </row>
    <row r="487" spans="1:12" x14ac:dyDescent="0.3">
      <c r="A487" s="4" t="s">
        <v>554</v>
      </c>
      <c r="B487" s="5">
        <v>45266</v>
      </c>
      <c r="C487" s="5">
        <v>45268</v>
      </c>
      <c r="D487" s="4" t="s">
        <v>33</v>
      </c>
      <c r="E487" s="4" t="s">
        <v>41</v>
      </c>
      <c r="F487" s="4" t="s">
        <v>38</v>
      </c>
      <c r="G487" s="4">
        <v>107</v>
      </c>
      <c r="H487" s="4">
        <v>107</v>
      </c>
      <c r="I487" s="4">
        <v>18.41</v>
      </c>
      <c r="J487" s="4">
        <v>12.69</v>
      </c>
      <c r="K487" s="4">
        <v>3</v>
      </c>
      <c r="L487" s="4">
        <v>1443.06</v>
      </c>
    </row>
    <row r="488" spans="1:12" x14ac:dyDescent="0.3">
      <c r="A488" s="2" t="s">
        <v>555</v>
      </c>
      <c r="B488" s="3">
        <v>45125</v>
      </c>
      <c r="C488" s="3">
        <v>45131</v>
      </c>
      <c r="D488" s="2" t="s">
        <v>36</v>
      </c>
      <c r="E488" s="2" t="s">
        <v>14</v>
      </c>
      <c r="F488" s="2" t="s">
        <v>27</v>
      </c>
      <c r="G488" s="2">
        <v>357</v>
      </c>
      <c r="H488" s="2">
        <v>357</v>
      </c>
      <c r="I488" s="2">
        <v>10.38</v>
      </c>
      <c r="J488" s="2">
        <v>6.32</v>
      </c>
      <c r="K488" s="2">
        <v>7</v>
      </c>
      <c r="L488" s="2"/>
    </row>
    <row r="489" spans="1:12" x14ac:dyDescent="0.3">
      <c r="A489" s="4" t="s">
        <v>556</v>
      </c>
      <c r="B489" s="5">
        <v>45187</v>
      </c>
      <c r="C489" s="5">
        <v>45192</v>
      </c>
      <c r="D489" s="4" t="s">
        <v>40</v>
      </c>
      <c r="E489" s="4" t="s">
        <v>18</v>
      </c>
      <c r="F489" s="4" t="s">
        <v>22</v>
      </c>
      <c r="G489" s="4">
        <v>181</v>
      </c>
      <c r="H489" s="4">
        <v>181</v>
      </c>
      <c r="I489" s="4">
        <v>9.27</v>
      </c>
      <c r="J489" s="4">
        <v>5.26</v>
      </c>
      <c r="K489" s="4">
        <v>4</v>
      </c>
      <c r="L489" s="4">
        <v>970.46</v>
      </c>
    </row>
    <row r="490" spans="1:12" x14ac:dyDescent="0.3">
      <c r="A490" s="2" t="s">
        <v>557</v>
      </c>
      <c r="B490" s="3">
        <v>44947</v>
      </c>
      <c r="C490" s="3">
        <v>44952</v>
      </c>
      <c r="D490" s="2" t="s">
        <v>36</v>
      </c>
      <c r="E490" s="2" t="s">
        <v>48</v>
      </c>
      <c r="F490" s="2" t="s">
        <v>27</v>
      </c>
      <c r="G490" s="2">
        <v>176</v>
      </c>
      <c r="H490" s="2">
        <v>176</v>
      </c>
      <c r="I490" s="2">
        <v>6.22</v>
      </c>
      <c r="J490" s="2">
        <v>3.62</v>
      </c>
      <c r="K490" s="2">
        <v>7</v>
      </c>
      <c r="L490" s="2">
        <v>705.97</v>
      </c>
    </row>
    <row r="491" spans="1:12" x14ac:dyDescent="0.3">
      <c r="A491" s="4" t="s">
        <v>558</v>
      </c>
      <c r="B491" s="5">
        <v>45047</v>
      </c>
      <c r="C491" s="5">
        <v>45058</v>
      </c>
      <c r="D491" s="4" t="s">
        <v>29</v>
      </c>
      <c r="E491" s="4" t="s">
        <v>34</v>
      </c>
      <c r="F491" s="4" t="s">
        <v>15</v>
      </c>
      <c r="G491" s="4">
        <v>161</v>
      </c>
      <c r="H491" s="4">
        <v>161</v>
      </c>
      <c r="I491" s="4">
        <v>17.63</v>
      </c>
      <c r="J491" s="4">
        <v>12.79</v>
      </c>
      <c r="K491" s="4">
        <v>6</v>
      </c>
      <c r="L491" s="4">
        <v>2953.38</v>
      </c>
    </row>
    <row r="492" spans="1:12" x14ac:dyDescent="0.3">
      <c r="A492" s="2" t="s">
        <v>559</v>
      </c>
      <c r="B492" s="3">
        <v>45042</v>
      </c>
      <c r="C492" s="3">
        <v>45044</v>
      </c>
      <c r="D492" s="2" t="s">
        <v>33</v>
      </c>
      <c r="E492" s="2" t="s">
        <v>48</v>
      </c>
      <c r="F492" s="2" t="s">
        <v>15</v>
      </c>
      <c r="G492" s="2">
        <v>356</v>
      </c>
      <c r="H492" s="2">
        <v>356</v>
      </c>
      <c r="I492" s="2">
        <v>7.43</v>
      </c>
      <c r="J492" s="2">
        <v>4.8600000000000003</v>
      </c>
      <c r="K492" s="2">
        <v>3</v>
      </c>
      <c r="L492" s="2">
        <v>2260.9699999999998</v>
      </c>
    </row>
    <row r="493" spans="1:12" x14ac:dyDescent="0.3">
      <c r="A493" s="4" t="s">
        <v>560</v>
      </c>
      <c r="B493" s="5">
        <v>45220</v>
      </c>
      <c r="C493" s="5">
        <v>45223</v>
      </c>
      <c r="D493" s="4" t="s">
        <v>26</v>
      </c>
      <c r="E493" s="4" t="s">
        <v>41</v>
      </c>
      <c r="F493" s="4" t="s">
        <v>19</v>
      </c>
      <c r="G493" s="4">
        <v>329</v>
      </c>
      <c r="H493" s="4">
        <v>329</v>
      </c>
      <c r="I493" s="4">
        <v>22.51</v>
      </c>
      <c r="J493" s="4">
        <v>13.31</v>
      </c>
      <c r="K493" s="4">
        <v>5</v>
      </c>
      <c r="L493" s="4">
        <v>4305.1899999999996</v>
      </c>
    </row>
    <row r="494" spans="1:12" x14ac:dyDescent="0.3">
      <c r="A494" s="2" t="s">
        <v>561</v>
      </c>
      <c r="B494" s="3">
        <v>45279</v>
      </c>
      <c r="C494" s="3">
        <v>45284</v>
      </c>
      <c r="D494" s="2" t="s">
        <v>26</v>
      </c>
      <c r="E494" s="2" t="s">
        <v>18</v>
      </c>
      <c r="F494" s="2" t="s">
        <v>15</v>
      </c>
      <c r="G494" s="2">
        <v>89</v>
      </c>
      <c r="H494" s="2">
        <v>89</v>
      </c>
      <c r="I494" s="2">
        <v>10.76</v>
      </c>
      <c r="J494" s="2">
        <v>7.58</v>
      </c>
      <c r="K494" s="2">
        <v>5</v>
      </c>
      <c r="L494" s="2">
        <v>872.78</v>
      </c>
    </row>
    <row r="495" spans="1:12" x14ac:dyDescent="0.3">
      <c r="A495" s="4" t="s">
        <v>562</v>
      </c>
      <c r="B495" s="5">
        <v>45212</v>
      </c>
      <c r="C495" s="5">
        <v>45213</v>
      </c>
      <c r="D495" s="4" t="s">
        <v>56</v>
      </c>
      <c r="E495" s="4" t="s">
        <v>34</v>
      </c>
      <c r="F495" s="4" t="s">
        <v>27</v>
      </c>
      <c r="G495" s="4">
        <v>114</v>
      </c>
      <c r="H495" s="4">
        <v>114</v>
      </c>
      <c r="I495" s="4">
        <v>19.920000000000002</v>
      </c>
      <c r="J495" s="4">
        <v>13.85</v>
      </c>
      <c r="K495" s="4">
        <v>2</v>
      </c>
      <c r="L495" s="4">
        <v>2146.14</v>
      </c>
    </row>
    <row r="496" spans="1:12" x14ac:dyDescent="0.3">
      <c r="A496" s="2" t="s">
        <v>563</v>
      </c>
      <c r="B496" s="3">
        <v>45153</v>
      </c>
      <c r="C496" s="3">
        <v>45156</v>
      </c>
      <c r="D496" s="2" t="s">
        <v>40</v>
      </c>
      <c r="E496" s="2" t="s">
        <v>41</v>
      </c>
      <c r="F496" s="2" t="s">
        <v>15</v>
      </c>
      <c r="G496" s="2">
        <v>97</v>
      </c>
      <c r="H496" s="2">
        <v>97</v>
      </c>
      <c r="I496" s="2">
        <v>17.28</v>
      </c>
      <c r="J496" s="2">
        <v>10.14</v>
      </c>
      <c r="K496" s="2">
        <v>4</v>
      </c>
      <c r="L496" s="2">
        <v>1335.18</v>
      </c>
    </row>
    <row r="497" spans="1:12" x14ac:dyDescent="0.3">
      <c r="A497" s="4" t="s">
        <v>564</v>
      </c>
      <c r="B497" s="5">
        <v>45240</v>
      </c>
      <c r="C497" s="5">
        <v>45241</v>
      </c>
      <c r="D497" s="4" t="s">
        <v>50</v>
      </c>
      <c r="E497" s="4" t="s">
        <v>48</v>
      </c>
      <c r="F497" s="4" t="s">
        <v>38</v>
      </c>
      <c r="G497" s="4">
        <v>138</v>
      </c>
      <c r="H497" s="4">
        <v>138</v>
      </c>
      <c r="I497" s="4">
        <v>6.09</v>
      </c>
      <c r="J497" s="4">
        <v>4.1900000000000004</v>
      </c>
      <c r="K497" s="4">
        <v>3</v>
      </c>
      <c r="L497" s="4">
        <v>685.75</v>
      </c>
    </row>
    <row r="498" spans="1:12" x14ac:dyDescent="0.3">
      <c r="A498" s="2" t="s">
        <v>565</v>
      </c>
      <c r="B498" s="3">
        <v>45125</v>
      </c>
      <c r="C498" s="3">
        <v>45127</v>
      </c>
      <c r="D498" s="2" t="s">
        <v>36</v>
      </c>
      <c r="E498" s="2" t="s">
        <v>34</v>
      </c>
      <c r="F498" s="2" t="s">
        <v>19</v>
      </c>
      <c r="G498" s="2">
        <v>103</v>
      </c>
      <c r="H498" s="2">
        <v>103</v>
      </c>
      <c r="I498" s="2">
        <v>12.29</v>
      </c>
      <c r="J498" s="2">
        <v>8.64</v>
      </c>
      <c r="K498" s="2">
        <v>7</v>
      </c>
      <c r="L498" s="2">
        <v>808.94</v>
      </c>
    </row>
    <row r="499" spans="1:12" x14ac:dyDescent="0.3">
      <c r="A499" s="4" t="s">
        <v>566</v>
      </c>
      <c r="B499" s="5">
        <v>45270</v>
      </c>
      <c r="C499" s="5">
        <v>45275</v>
      </c>
      <c r="D499" s="4" t="s">
        <v>50</v>
      </c>
      <c r="E499" s="4" t="s">
        <v>41</v>
      </c>
      <c r="F499" s="4" t="s">
        <v>19</v>
      </c>
      <c r="G499" s="4">
        <v>53</v>
      </c>
      <c r="H499" s="4">
        <v>53</v>
      </c>
      <c r="I499" s="4">
        <v>27.46</v>
      </c>
      <c r="J499" s="4">
        <v>17.52</v>
      </c>
      <c r="K499" s="4">
        <v>3</v>
      </c>
      <c r="L499" s="4">
        <v>1179.49</v>
      </c>
    </row>
    <row r="500" spans="1:12" x14ac:dyDescent="0.3">
      <c r="A500" s="2" t="s">
        <v>567</v>
      </c>
      <c r="B500" s="3">
        <v>45145</v>
      </c>
      <c r="C500" s="3">
        <v>45146</v>
      </c>
      <c r="D500" s="2" t="s">
        <v>29</v>
      </c>
      <c r="E500" s="2" t="s">
        <v>41</v>
      </c>
      <c r="F500" s="2" t="s">
        <v>19</v>
      </c>
      <c r="G500" s="2">
        <v>331</v>
      </c>
      <c r="H500" s="2">
        <v>331</v>
      </c>
      <c r="I500" s="2">
        <v>20.56</v>
      </c>
      <c r="J500" s="2">
        <v>12.59</v>
      </c>
      <c r="K500" s="2">
        <v>6</v>
      </c>
      <c r="L500" s="2">
        <v>5279.55</v>
      </c>
    </row>
    <row r="501" spans="1:12" x14ac:dyDescent="0.3">
      <c r="A501" s="4" t="s">
        <v>568</v>
      </c>
      <c r="B501" s="5">
        <v>45158</v>
      </c>
      <c r="C501" s="5">
        <v>45159</v>
      </c>
      <c r="D501" s="4" t="s">
        <v>33</v>
      </c>
      <c r="E501" s="4" t="s">
        <v>48</v>
      </c>
      <c r="F501" s="4" t="s">
        <v>27</v>
      </c>
      <c r="G501" s="4">
        <v>145</v>
      </c>
      <c r="H501" s="4">
        <v>145</v>
      </c>
      <c r="I501" s="4">
        <v>6.22</v>
      </c>
      <c r="J501" s="4">
        <v>4.34</v>
      </c>
      <c r="K501" s="4">
        <v>3</v>
      </c>
      <c r="L501" s="4"/>
    </row>
  </sheetData>
  <sheetProtection sheet="1" formatCells="0" formatColumns="0" formatRows="0" insertColumns="0" insertRows="0" insertHyperlinks="0" deleteColumns="0" deleteRows="0" sort="0" autoFilter="0" pivotTables="0"/>
  <autoFilter ref="A1:L1"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Cleaned_Data</vt:lpstr>
      <vt:lpstr>KPI_CALC</vt:lpstr>
      <vt:lpstr>PIVOT_TABLE_ANALYSIS</vt:lpstr>
      <vt:lpstr>Dashboard</vt:lpstr>
      <vt:lpstr>RAW_DATA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Saffan Aftab Nagani</cp:lastModifiedBy>
  <dcterms:created xsi:type="dcterms:W3CDTF">2026-04-12T19:24:20Z</dcterms:created>
  <dcterms:modified xsi:type="dcterms:W3CDTF">2026-05-26T08:27:16Z</dcterms:modified>
</cp:coreProperties>
</file>